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監視項目一覧" sheetId="1" state="visible" r:id="rId1"/>
    <sheet name="サマリ" sheetId="2" state="visible" r:id="rId2"/>
    <sheet name="凡例・前提" sheetId="3" state="visible" r:id="rId3"/>
  </sheets>
  <definedNames>
    <definedName name="_xlnm._FilterDatabase" localSheetId="0" hidden="1">'監視項目一覧'!$A$1:$N$156</definedName>
    <definedName name="_xlnm.Print_Titles" localSheetId="0">'監視項目一覧'!$1:$1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Meiryo"/>
      <b val="1"/>
      <color rgb="00FFFFFF"/>
      <sz val="10"/>
    </font>
    <font>
      <name val="Meiryo"/>
      <sz val="10"/>
    </font>
    <font>
      <name val="Meiryo"/>
      <b val="1"/>
      <color rgb="009C0006"/>
      <sz val="10"/>
    </font>
    <font>
      <name val="Consolas"/>
      <sz val="9"/>
    </font>
    <font>
      <name val="Meiryo"/>
      <color rgb="000563C1"/>
      <sz val="9"/>
      <u val="single"/>
    </font>
    <font>
      <name val="Meiryo"/>
      <b val="1"/>
      <color rgb="009C5700"/>
      <sz val="10"/>
    </font>
    <font>
      <name val="Meiryo"/>
      <b val="1"/>
      <color rgb="00595959"/>
      <sz val="10"/>
    </font>
    <font>
      <name val="Meiryo"/>
      <b val="1"/>
      <color rgb="001F4E78"/>
      <sz val="10"/>
    </font>
    <font>
      <name val="Meiryo"/>
      <b val="1"/>
      <sz val="12"/>
    </font>
    <font>
      <name val="Meiryo"/>
      <b val="1"/>
      <sz val="10"/>
    </font>
  </fonts>
  <fills count="7">
    <fill>
      <patternFill/>
    </fill>
    <fill>
      <patternFill patternType="gray125"/>
    </fill>
    <fill>
      <patternFill patternType="solid">
        <fgColor rgb="001F4E78"/>
      </patternFill>
    </fill>
    <fill>
      <patternFill patternType="solid">
        <fgColor rgb="00FFC7CE"/>
      </patternFill>
    </fill>
    <fill>
      <patternFill patternType="solid">
        <fgColor rgb="00FFEB9C"/>
      </patternFill>
    </fill>
    <fill>
      <patternFill patternType="solid">
        <fgColor rgb="00E7E6E6"/>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3" fillId="3" borderId="1" applyAlignment="1" pivotButton="0" quotePrefix="0" xfId="0">
      <alignment horizontal="center" vertical="top"/>
    </xf>
    <xf numFmtId="0" fontId="4" fillId="0" borderId="1" applyAlignment="1" pivotButton="0" quotePrefix="0" xfId="0">
      <alignment vertical="top" wrapText="1"/>
    </xf>
    <xf numFmtId="0" fontId="5" fillId="0" borderId="1" applyAlignment="1" pivotButton="0" quotePrefix="0" xfId="0">
      <alignment vertical="top" wrapText="1"/>
    </xf>
    <xf numFmtId="0" fontId="6" fillId="4" borderId="1" applyAlignment="1" pivotButton="0" quotePrefix="0" xfId="0">
      <alignment horizontal="center" vertical="top"/>
    </xf>
    <xf numFmtId="0" fontId="7" fillId="5" borderId="1" applyAlignment="1" pivotButton="0" quotePrefix="0" xfId="0">
      <alignment horizontal="center" vertical="top"/>
    </xf>
    <xf numFmtId="0" fontId="8" fillId="6" borderId="1" applyAlignment="1" pivotButton="0" quotePrefix="0" xfId="0">
      <alignment horizontal="center" vertical="top"/>
    </xf>
    <xf numFmtId="0" fontId="9" fillId="0" borderId="0" pivotButton="0" quotePrefix="0" xfId="0"/>
    <xf numFmtId="0" fontId="3" fillId="3" borderId="1" applyAlignment="1" pivotButton="0" quotePrefix="0" xfId="0">
      <alignment horizontal="center" vertical="center"/>
    </xf>
    <xf numFmtId="0" fontId="2" fillId="0" borderId="1" applyAlignment="1" pivotButton="0" quotePrefix="0" xfId="0">
      <alignment horizontal="center" vertical="center"/>
    </xf>
    <xf numFmtId="0" fontId="6" fillId="4" borderId="1" applyAlignment="1" pivotButton="0" quotePrefix="0" xfId="0">
      <alignment horizontal="center" vertical="center"/>
    </xf>
    <xf numFmtId="0" fontId="8" fillId="6" borderId="1" applyAlignment="1" pivotButton="0" quotePrefix="0" xfId="0">
      <alignment horizontal="center" vertical="center"/>
    </xf>
    <xf numFmtId="0" fontId="7" fillId="5" borderId="1" applyAlignment="1" pivotButton="0" quotePrefix="0" xfId="0">
      <alignment horizontal="center" vertical="center"/>
    </xf>
    <xf numFmtId="0" fontId="10" fillId="0" borderId="1" applyAlignment="1" pivotButton="0" quotePrefix="0" xfId="0">
      <alignment horizontal="left" vertical="center"/>
    </xf>
    <xf numFmtId="0" fontId="10" fillId="0" borderId="1" applyAlignment="1" pivotButton="0" quotePrefix="0" xfId="0">
      <alignment horizontal="center" vertical="center"/>
    </xf>
    <xf numFmtId="0" fontId="2" fillId="0" borderId="1" applyAlignment="1" pivotButton="0" quotePrefix="0" xfId="0">
      <alignment horizontal="left" vertical="center"/>
    </xf>
    <xf numFmtId="0" fontId="10" fillId="0" borderId="1" applyAlignment="1" pivotButton="0" quotePrefix="0" xfId="0">
      <alignment vertical="top" wrapText="1"/>
    </xf>
    <xf numFmtId="0" fontId="3" fillId="3" borderId="1" applyAlignment="1" pivotButton="0" quotePrefix="0" xfId="0">
      <alignment vertical="top" wrapText="1"/>
    </xf>
    <xf numFmtId="0" fontId="6" fillId="4" borderId="1" applyAlignment="1" pivotButton="0" quotePrefix="0" xfId="0">
      <alignment vertical="top" wrapText="1"/>
    </xf>
    <xf numFmtId="0" fontId="8" fillId="6" borderId="1" applyAlignment="1" pivotButton="0" quotePrefix="0" xfId="0">
      <alignment vertical="top" wrapText="1"/>
    </xf>
    <xf numFmtId="0" fontId="7"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unbooks.prometheus-operator.dev/runbooks/alertmanager/alertmanagerfailedreload" TargetMode="External" Id="rId1" /><Relationship Type="http://schemas.openxmlformats.org/officeDocument/2006/relationships/hyperlink" Target="https://runbooks.prometheus-operator.dev/runbooks/alertmanager/alertmanagermembersinconsistent" TargetMode="External" Id="rId2" /><Relationship Type="http://schemas.openxmlformats.org/officeDocument/2006/relationships/hyperlink" Target="https://runbooks.prometheus-operator.dev/runbooks/alertmanager/alertmanagerfailedtosendalerts" TargetMode="External" Id="rId3" /><Relationship Type="http://schemas.openxmlformats.org/officeDocument/2006/relationships/hyperlink" Target="https://runbooks.prometheus-operator.dev/runbooks/alertmanager/alertmanagerclusterfailedtosendalerts" TargetMode="External" Id="rId4" /><Relationship Type="http://schemas.openxmlformats.org/officeDocument/2006/relationships/hyperlink" Target="https://runbooks.prometheus-operator.dev/runbooks/alertmanager/alertmanagerclusterfailedtosendalerts" TargetMode="External" Id="rId5" /><Relationship Type="http://schemas.openxmlformats.org/officeDocument/2006/relationships/hyperlink" Target="https://runbooks.prometheus-operator.dev/runbooks/alertmanager/alertmanagerconfiginconsistent" TargetMode="External" Id="rId6" /><Relationship Type="http://schemas.openxmlformats.org/officeDocument/2006/relationships/hyperlink" Target="https://runbooks.prometheus-operator.dev/runbooks/alertmanager/alertmanagerclusterdown" TargetMode="External" Id="rId7" /><Relationship Type="http://schemas.openxmlformats.org/officeDocument/2006/relationships/hyperlink" Target="https://runbooks.prometheus-operator.dev/runbooks/alertmanager/alertmanagerclustercrashlooping" TargetMode="External" Id="rId8" /><Relationship Type="http://schemas.openxmlformats.org/officeDocument/2006/relationships/hyperlink" Target="https://runbooks.prometheus-operator.dev/runbooks/alertmanager/alertmanagerclusterfailedpeers" TargetMode="External" Id="rId9" /><Relationship Type="http://schemas.openxmlformats.org/officeDocument/2006/relationships/hyperlink" Target="https://runbooks.prometheus-operator.dev/runbooks/prometheus-operator/configreloadersidecarerrors" TargetMode="External" Id="rId10" /><Relationship Type="http://schemas.openxmlformats.org/officeDocument/2006/relationships/hyperlink" Target="https://runbooks.prometheus-operator.dev/runbooks/etcd/etcdmembersdown" TargetMode="External" Id="rId11" /><Relationship Type="http://schemas.openxmlformats.org/officeDocument/2006/relationships/hyperlink" Target="https://runbooks.prometheus-operator.dev/runbooks/etcd/etcdinsufficientmembers" TargetMode="External" Id="rId12" /><Relationship Type="http://schemas.openxmlformats.org/officeDocument/2006/relationships/hyperlink" Target="https://runbooks.prometheus-operator.dev/runbooks/etcd/etcdnoleader" TargetMode="External" Id="rId13" /><Relationship Type="http://schemas.openxmlformats.org/officeDocument/2006/relationships/hyperlink" Target="https://runbooks.prometheus-operator.dev/runbooks/etcd/etcdhighnumberofleaderchanges" TargetMode="External" Id="rId14" /><Relationship Type="http://schemas.openxmlformats.org/officeDocument/2006/relationships/hyperlink" Target="https://runbooks.prometheus-operator.dev/runbooks/etcd/etcdhighnumberoffailedgrpcrequests" TargetMode="External" Id="rId15" /><Relationship Type="http://schemas.openxmlformats.org/officeDocument/2006/relationships/hyperlink" Target="https://runbooks.prometheus-operator.dev/runbooks/etcd/etcdhighnumberoffailedgrpcrequests" TargetMode="External" Id="rId16" /><Relationship Type="http://schemas.openxmlformats.org/officeDocument/2006/relationships/hyperlink" Target="https://runbooks.prometheus-operator.dev/runbooks/etcd/etcdgrpcrequestsslow" TargetMode="External" Id="rId17" /><Relationship Type="http://schemas.openxmlformats.org/officeDocument/2006/relationships/hyperlink" Target="https://runbooks.prometheus-operator.dev/runbooks/etcd/etcdmembercommunicationslow" TargetMode="External" Id="rId18" /><Relationship Type="http://schemas.openxmlformats.org/officeDocument/2006/relationships/hyperlink" Target="https://runbooks.prometheus-operator.dev/runbooks/etcd/etcdhighnumberoffailedproposals" TargetMode="External" Id="rId19" /><Relationship Type="http://schemas.openxmlformats.org/officeDocument/2006/relationships/hyperlink" Target="https://runbooks.prometheus-operator.dev/runbooks/etcd/etcdhighfsyncdurations" TargetMode="External" Id="rId20" /><Relationship Type="http://schemas.openxmlformats.org/officeDocument/2006/relationships/hyperlink" Target="https://runbooks.prometheus-operator.dev/runbooks/etcd/etcdhighfsyncdurations" TargetMode="External" Id="rId21" /><Relationship Type="http://schemas.openxmlformats.org/officeDocument/2006/relationships/hyperlink" Target="https://runbooks.prometheus-operator.dev/runbooks/etcd/etcdhighcommitdurations" TargetMode="External" Id="rId22" /><Relationship Type="http://schemas.openxmlformats.org/officeDocument/2006/relationships/hyperlink" Target="https://runbooks.prometheus-operator.dev/runbooks/etcd/etcddatabasequotalowspace" TargetMode="External" Id="rId23" /><Relationship Type="http://schemas.openxmlformats.org/officeDocument/2006/relationships/hyperlink" Target="https://runbooks.prometheus-operator.dev/runbooks/etcd/etcdexcessivedatabasegrowth" TargetMode="External" Id="rId24" /><Relationship Type="http://schemas.openxmlformats.org/officeDocument/2006/relationships/hyperlink" Target="https://runbooks.prometheus-operator.dev/runbooks/etcd/etcddatabasehighfragmentationratio" TargetMode="External" Id="rId25" /><Relationship Type="http://schemas.openxmlformats.org/officeDocument/2006/relationships/hyperlink" Target="https://runbooks.prometheus-operator.dev/runbooks/general/targetdown" TargetMode="External" Id="rId26" /><Relationship Type="http://schemas.openxmlformats.org/officeDocument/2006/relationships/hyperlink" Target="https://runbooks.prometheus-operator.dev/runbooks/general/watchdog" TargetMode="External" Id="rId27" /><Relationship Type="http://schemas.openxmlformats.org/officeDocument/2006/relationships/hyperlink" Target="https://runbooks.prometheus-operator.dev/runbooks/general/infoinhibitor" TargetMode="External" Id="rId28" /><Relationship Type="http://schemas.openxmlformats.org/officeDocument/2006/relationships/hyperlink" Target="https://runbooks.prometheus-operator.dev/runbooks/kubernetes/kubeapierrorbudgetburn" TargetMode="External" Id="rId29" /><Relationship Type="http://schemas.openxmlformats.org/officeDocument/2006/relationships/hyperlink" Target="https://runbooks.prometheus-operator.dev/runbooks/kubernetes/kubeapierrorbudgetburn" TargetMode="External" Id="rId30" /><Relationship Type="http://schemas.openxmlformats.org/officeDocument/2006/relationships/hyperlink" Target="https://runbooks.prometheus-operator.dev/runbooks/kubernetes/kubeapierrorbudgetburn" TargetMode="External" Id="rId31" /><Relationship Type="http://schemas.openxmlformats.org/officeDocument/2006/relationships/hyperlink" Target="https://runbooks.prometheus-operator.dev/runbooks/kubernetes/kubeapierrorbudgetburn" TargetMode="External" Id="rId32" /><Relationship Type="http://schemas.openxmlformats.org/officeDocument/2006/relationships/hyperlink" Target="https://runbooks.prometheus-operator.dev/runbooks/kube-state-metrics/kubestatemetricslisterrors" TargetMode="External" Id="rId33" /><Relationship Type="http://schemas.openxmlformats.org/officeDocument/2006/relationships/hyperlink" Target="https://runbooks.prometheus-operator.dev/runbooks/kube-state-metrics/kubestatemetricswatcherrors" TargetMode="External" Id="rId34" /><Relationship Type="http://schemas.openxmlformats.org/officeDocument/2006/relationships/hyperlink" Target="https://runbooks.prometheus-operator.dev/runbooks/kube-state-metrics/kubestatemetricsshardingmismatch" TargetMode="External" Id="rId35" /><Relationship Type="http://schemas.openxmlformats.org/officeDocument/2006/relationships/hyperlink" Target="https://runbooks.prometheus-operator.dev/runbooks/kube-state-metrics/kubestatemetricsshardsmissing" TargetMode="External" Id="rId36" /><Relationship Type="http://schemas.openxmlformats.org/officeDocument/2006/relationships/hyperlink" Target="https://runbooks.prometheus-operator.dev/runbooks/kubernetes/kubepodcrashlooping" TargetMode="External" Id="rId37" /><Relationship Type="http://schemas.openxmlformats.org/officeDocument/2006/relationships/hyperlink" Target="https://runbooks.prometheus-operator.dev/runbooks/kubernetes/kubepodnotready" TargetMode="External" Id="rId38" /><Relationship Type="http://schemas.openxmlformats.org/officeDocument/2006/relationships/hyperlink" Target="https://runbooks.prometheus-operator.dev/runbooks/kubernetes/kubedeploymentgenerationmismatch" TargetMode="External" Id="rId39" /><Relationship Type="http://schemas.openxmlformats.org/officeDocument/2006/relationships/hyperlink" Target="https://runbooks.prometheus-operator.dev/runbooks/kubernetes/kubedeploymentreplicasmismatch" TargetMode="External" Id="rId40" /><Relationship Type="http://schemas.openxmlformats.org/officeDocument/2006/relationships/hyperlink" Target="https://runbooks.prometheus-operator.dev/runbooks/kubernetes/kubedeploymentrolloutstuck" TargetMode="External" Id="rId41" /><Relationship Type="http://schemas.openxmlformats.org/officeDocument/2006/relationships/hyperlink" Target="https://runbooks.prometheus-operator.dev/runbooks/kubernetes/kubestatefulsetreplicasmismatch" TargetMode="External" Id="rId42" /><Relationship Type="http://schemas.openxmlformats.org/officeDocument/2006/relationships/hyperlink" Target="https://runbooks.prometheus-operator.dev/runbooks/kubernetes/kubestatefulsetgenerationmismatch" TargetMode="External" Id="rId43" /><Relationship Type="http://schemas.openxmlformats.org/officeDocument/2006/relationships/hyperlink" Target="https://runbooks.prometheus-operator.dev/runbooks/kubernetes/kubestatefulsetupdatenotrolledout" TargetMode="External" Id="rId44" /><Relationship Type="http://schemas.openxmlformats.org/officeDocument/2006/relationships/hyperlink" Target="https://runbooks.prometheus-operator.dev/runbooks/kubernetes/kubedaemonsetrolloutstuck" TargetMode="External" Id="rId45" /><Relationship Type="http://schemas.openxmlformats.org/officeDocument/2006/relationships/hyperlink" Target="https://runbooks.prometheus-operator.dev/runbooks/kubernetes/kubecontainerwaiting" TargetMode="External" Id="rId46" /><Relationship Type="http://schemas.openxmlformats.org/officeDocument/2006/relationships/hyperlink" Target="https://runbooks.prometheus-operator.dev/runbooks/kubernetes/kubedaemonsetnotscheduled" TargetMode="External" Id="rId47" /><Relationship Type="http://schemas.openxmlformats.org/officeDocument/2006/relationships/hyperlink" Target="https://runbooks.prometheus-operator.dev/runbooks/kubernetes/kubedaemonsetmisscheduled" TargetMode="External" Id="rId48" /><Relationship Type="http://schemas.openxmlformats.org/officeDocument/2006/relationships/hyperlink" Target="https://runbooks.prometheus-operator.dev/runbooks/kubernetes/kubejobnotcompleted" TargetMode="External" Id="rId49" /><Relationship Type="http://schemas.openxmlformats.org/officeDocument/2006/relationships/hyperlink" Target="https://runbooks.prometheus-operator.dev/runbooks/kubernetes/kubejobfailed" TargetMode="External" Id="rId50" /><Relationship Type="http://schemas.openxmlformats.org/officeDocument/2006/relationships/hyperlink" Target="https://runbooks.prometheus-operator.dev/runbooks/kubernetes/kubehpareplicasmismatch" TargetMode="External" Id="rId51" /><Relationship Type="http://schemas.openxmlformats.org/officeDocument/2006/relationships/hyperlink" Target="https://runbooks.prometheus-operator.dev/runbooks/kubernetes/kubehpamaxedout" TargetMode="External" Id="rId52" /><Relationship Type="http://schemas.openxmlformats.org/officeDocument/2006/relationships/hyperlink" Target="https://runbooks.prometheus-operator.dev/runbooks/kubernetes/kubepdbnotenoughhealthypods" TargetMode="External" Id="rId53" /><Relationship Type="http://schemas.openxmlformats.org/officeDocument/2006/relationships/hyperlink" Target="https://runbooks.prometheus-operator.dev/runbooks/kubernetes/kubecpuovercommit" TargetMode="External" Id="rId54" /><Relationship Type="http://schemas.openxmlformats.org/officeDocument/2006/relationships/hyperlink" Target="https://runbooks.prometheus-operator.dev/runbooks/kubernetes/kubememoryovercommit" TargetMode="External" Id="rId55" /><Relationship Type="http://schemas.openxmlformats.org/officeDocument/2006/relationships/hyperlink" Target="https://runbooks.prometheus-operator.dev/runbooks/kubernetes/kubecpuquotaovercommit" TargetMode="External" Id="rId56" /><Relationship Type="http://schemas.openxmlformats.org/officeDocument/2006/relationships/hyperlink" Target="https://runbooks.prometheus-operator.dev/runbooks/kubernetes/kubememoryquotaovercommit" TargetMode="External" Id="rId57" /><Relationship Type="http://schemas.openxmlformats.org/officeDocument/2006/relationships/hyperlink" Target="https://runbooks.prometheus-operator.dev/runbooks/kubernetes/kubequotaalmostfull" TargetMode="External" Id="rId58" /><Relationship Type="http://schemas.openxmlformats.org/officeDocument/2006/relationships/hyperlink" Target="https://runbooks.prometheus-operator.dev/runbooks/kubernetes/kubequotafullyused" TargetMode="External" Id="rId59" /><Relationship Type="http://schemas.openxmlformats.org/officeDocument/2006/relationships/hyperlink" Target="https://runbooks.prometheus-operator.dev/runbooks/kubernetes/kubequotaexceeded" TargetMode="External" Id="rId60" /><Relationship Type="http://schemas.openxmlformats.org/officeDocument/2006/relationships/hyperlink" Target="https://runbooks.prometheus-operator.dev/runbooks/kubernetes/cputhrottlinghigh" TargetMode="External" Id="rId61" /><Relationship Type="http://schemas.openxmlformats.org/officeDocument/2006/relationships/hyperlink" Target="https://runbooks.prometheus-operator.dev/runbooks/kubernetes/kubepersistentvolumefillingup" TargetMode="External" Id="rId62" /><Relationship Type="http://schemas.openxmlformats.org/officeDocument/2006/relationships/hyperlink" Target="https://runbooks.prometheus-operator.dev/runbooks/kubernetes/kubepersistentvolumefillingup" TargetMode="External" Id="rId63" /><Relationship Type="http://schemas.openxmlformats.org/officeDocument/2006/relationships/hyperlink" Target="https://runbooks.prometheus-operator.dev/runbooks/kubernetes/kubepersistentvolumeinodesfillingup" TargetMode="External" Id="rId64" /><Relationship Type="http://schemas.openxmlformats.org/officeDocument/2006/relationships/hyperlink" Target="https://runbooks.prometheus-operator.dev/runbooks/kubernetes/kubepersistentvolumeinodesfillingup" TargetMode="External" Id="rId65" /><Relationship Type="http://schemas.openxmlformats.org/officeDocument/2006/relationships/hyperlink" Target="https://runbooks.prometheus-operator.dev/runbooks/kubernetes/kubepersistentvolumeerrors" TargetMode="External" Id="rId66" /><Relationship Type="http://schemas.openxmlformats.org/officeDocument/2006/relationships/hyperlink" Target="https://runbooks.prometheus-operator.dev/runbooks/kubernetes/kubeversionmismatch" TargetMode="External" Id="rId67" /><Relationship Type="http://schemas.openxmlformats.org/officeDocument/2006/relationships/hyperlink" Target="https://runbooks.prometheus-operator.dev/runbooks/kubernetes/kubeclienterrors" TargetMode="External" Id="rId68" /><Relationship Type="http://schemas.openxmlformats.org/officeDocument/2006/relationships/hyperlink" Target="https://runbooks.prometheus-operator.dev/runbooks/kubernetes/kubeclientcertificateexpiration" TargetMode="External" Id="rId69" /><Relationship Type="http://schemas.openxmlformats.org/officeDocument/2006/relationships/hyperlink" Target="https://runbooks.prometheus-operator.dev/runbooks/kubernetes/kubeclientcertificateexpiration" TargetMode="External" Id="rId70" /><Relationship Type="http://schemas.openxmlformats.org/officeDocument/2006/relationships/hyperlink" Target="https://runbooks.prometheus-operator.dev/runbooks/kubernetes/kubeaggregatedapierrors" TargetMode="External" Id="rId71" /><Relationship Type="http://schemas.openxmlformats.org/officeDocument/2006/relationships/hyperlink" Target="https://runbooks.prometheus-operator.dev/runbooks/kubernetes/kubeaggregatedapidown" TargetMode="External" Id="rId72" /><Relationship Type="http://schemas.openxmlformats.org/officeDocument/2006/relationships/hyperlink" Target="https://runbooks.prometheus-operator.dev/runbooks/kubernetes/kubeapidown" TargetMode="External" Id="rId73" /><Relationship Type="http://schemas.openxmlformats.org/officeDocument/2006/relationships/hyperlink" Target="https://runbooks.prometheus-operator.dev/runbooks/kubernetes/kubeapiinstanceunreachable" TargetMode="External" Id="rId74" /><Relationship Type="http://schemas.openxmlformats.org/officeDocument/2006/relationships/hyperlink" Target="https://runbooks.prometheus-operator.dev/runbooks/kubernetes/kubeapiterminatedrequests" TargetMode="External" Id="rId75" /><Relationship Type="http://schemas.openxmlformats.org/officeDocument/2006/relationships/hyperlink" Target="https://runbooks.prometheus-operator.dev/runbooks/kubernetes/kubecontrollermanagerdown" TargetMode="External" Id="rId76" /><Relationship Type="http://schemas.openxmlformats.org/officeDocument/2006/relationships/hyperlink" Target="https://runbooks.prometheus-operator.dev/runbooks/kubernetes/kubecontrollermanagerinstanceunreachable" TargetMode="External" Id="rId77" /><Relationship Type="http://schemas.openxmlformats.org/officeDocument/2006/relationships/hyperlink" Target="https://runbooks.prometheus-operator.dev/runbooks/kubernetes/kubeproxydown" TargetMode="External" Id="rId78" /><Relationship Type="http://schemas.openxmlformats.org/officeDocument/2006/relationships/hyperlink" Target="https://runbooks.prometheus-operator.dev/runbooks/kubernetes/kubeproxyinstanceunreachable" TargetMode="External" Id="rId79" /><Relationship Type="http://schemas.openxmlformats.org/officeDocument/2006/relationships/hyperlink" Target="https://runbooks.prometheus-operator.dev/runbooks/kubernetes/kubenodenotready" TargetMode="External" Id="rId80" /><Relationship Type="http://schemas.openxmlformats.org/officeDocument/2006/relationships/hyperlink" Target="https://runbooks.prometheus-operator.dev/runbooks/kubernetes/kubenodepressure" TargetMode="External" Id="rId81" /><Relationship Type="http://schemas.openxmlformats.org/officeDocument/2006/relationships/hyperlink" Target="https://runbooks.prometheus-operator.dev/runbooks/kubernetes/kubenodeunreachable" TargetMode="External" Id="rId82" /><Relationship Type="http://schemas.openxmlformats.org/officeDocument/2006/relationships/hyperlink" Target="https://runbooks.prometheus-operator.dev/runbooks/kubernetes/kubelettoomanypods" TargetMode="External" Id="rId83" /><Relationship Type="http://schemas.openxmlformats.org/officeDocument/2006/relationships/hyperlink" Target="https://runbooks.prometheus-operator.dev/runbooks/kubernetes/kubenodereadinessflapping" TargetMode="External" Id="rId84" /><Relationship Type="http://schemas.openxmlformats.org/officeDocument/2006/relationships/hyperlink" Target="https://runbooks.prometheus-operator.dev/runbooks/kubernetes/kubenodeeviction" TargetMode="External" Id="rId85" /><Relationship Type="http://schemas.openxmlformats.org/officeDocument/2006/relationships/hyperlink" Target="https://runbooks.prometheus-operator.dev/runbooks/kubernetes/kubeletplegdurationhigh" TargetMode="External" Id="rId86" /><Relationship Type="http://schemas.openxmlformats.org/officeDocument/2006/relationships/hyperlink" Target="https://runbooks.prometheus-operator.dev/runbooks/kubernetes/kubeletpodstartuplatencyhigh" TargetMode="External" Id="rId87" /><Relationship Type="http://schemas.openxmlformats.org/officeDocument/2006/relationships/hyperlink" Target="https://runbooks.prometheus-operator.dev/runbooks/kubernetes/kubeletclientcertificateexpiration" TargetMode="External" Id="rId88" /><Relationship Type="http://schemas.openxmlformats.org/officeDocument/2006/relationships/hyperlink" Target="https://runbooks.prometheus-operator.dev/runbooks/kubernetes/kubeletclientcertificateexpiration" TargetMode="External" Id="rId89" /><Relationship Type="http://schemas.openxmlformats.org/officeDocument/2006/relationships/hyperlink" Target="https://runbooks.prometheus-operator.dev/runbooks/kubernetes/kubeletservercertificateexpiration" TargetMode="External" Id="rId90" /><Relationship Type="http://schemas.openxmlformats.org/officeDocument/2006/relationships/hyperlink" Target="https://runbooks.prometheus-operator.dev/runbooks/kubernetes/kubeletservercertificateexpiration" TargetMode="External" Id="rId91" /><Relationship Type="http://schemas.openxmlformats.org/officeDocument/2006/relationships/hyperlink" Target="https://runbooks.prometheus-operator.dev/runbooks/kubernetes/kubeletclientcertificaterenewalerrors" TargetMode="External" Id="rId92" /><Relationship Type="http://schemas.openxmlformats.org/officeDocument/2006/relationships/hyperlink" Target="https://runbooks.prometheus-operator.dev/runbooks/kubernetes/kubeletservercertificaterenewalerrors" TargetMode="External" Id="rId93" /><Relationship Type="http://schemas.openxmlformats.org/officeDocument/2006/relationships/hyperlink" Target="https://runbooks.prometheus-operator.dev/runbooks/kubernetes/kubeletinstanceunreachable" TargetMode="External" Id="rId94" /><Relationship Type="http://schemas.openxmlformats.org/officeDocument/2006/relationships/hyperlink" Target="https://runbooks.prometheus-operator.dev/runbooks/kubernetes/kubeletdown" TargetMode="External" Id="rId95" /><Relationship Type="http://schemas.openxmlformats.org/officeDocument/2006/relationships/hyperlink" Target="https://runbooks.prometheus-operator.dev/runbooks/kubernetes/kubeschedulerdown" TargetMode="External" Id="rId96" /><Relationship Type="http://schemas.openxmlformats.org/officeDocument/2006/relationships/hyperlink" Target="https://runbooks.prometheus-operator.dev/runbooks/kubernetes/kubeschedulerinstanceunreachable" TargetMode="External" Id="rId97" /><Relationship Type="http://schemas.openxmlformats.org/officeDocument/2006/relationships/hyperlink" Target="https://runbooks.prometheus-operator.dev/runbooks/node/nodefilesystemspacefillingup" TargetMode="External" Id="rId98" /><Relationship Type="http://schemas.openxmlformats.org/officeDocument/2006/relationships/hyperlink" Target="https://runbooks.prometheus-operator.dev/runbooks/node/nodefilesystemspacefillingup" TargetMode="External" Id="rId99" /><Relationship Type="http://schemas.openxmlformats.org/officeDocument/2006/relationships/hyperlink" Target="https://runbooks.prometheus-operator.dev/runbooks/node/nodefilesystemalmostoutofspace" TargetMode="External" Id="rId100" /><Relationship Type="http://schemas.openxmlformats.org/officeDocument/2006/relationships/hyperlink" Target="https://runbooks.prometheus-operator.dev/runbooks/node/nodefilesystemalmostoutofspace" TargetMode="External" Id="rId101" /><Relationship Type="http://schemas.openxmlformats.org/officeDocument/2006/relationships/hyperlink" Target="https://runbooks.prometheus-operator.dev/runbooks/node/nodefilesystemfilesfillingup" TargetMode="External" Id="rId102" /><Relationship Type="http://schemas.openxmlformats.org/officeDocument/2006/relationships/hyperlink" Target="https://runbooks.prometheus-operator.dev/runbooks/node/nodefilesystemfilesfillingup" TargetMode="External" Id="rId103" /><Relationship Type="http://schemas.openxmlformats.org/officeDocument/2006/relationships/hyperlink" Target="https://runbooks.prometheus-operator.dev/runbooks/node/nodefilesystemalmostoutoffiles" TargetMode="External" Id="rId104" /><Relationship Type="http://schemas.openxmlformats.org/officeDocument/2006/relationships/hyperlink" Target="https://runbooks.prometheus-operator.dev/runbooks/node/nodefilesystemalmostoutoffiles" TargetMode="External" Id="rId105" /><Relationship Type="http://schemas.openxmlformats.org/officeDocument/2006/relationships/hyperlink" Target="https://runbooks.prometheus-operator.dev/runbooks/node/nodenetworkreceiveerrs" TargetMode="External" Id="rId106" /><Relationship Type="http://schemas.openxmlformats.org/officeDocument/2006/relationships/hyperlink" Target="https://runbooks.prometheus-operator.dev/runbooks/node/nodenetworktransmiterrs" TargetMode="External" Id="rId107" /><Relationship Type="http://schemas.openxmlformats.org/officeDocument/2006/relationships/hyperlink" Target="https://runbooks.prometheus-operator.dev/runbooks/node/nodehighnumberconntrackentriesused" TargetMode="External" Id="rId108" /><Relationship Type="http://schemas.openxmlformats.org/officeDocument/2006/relationships/hyperlink" Target="https://runbooks.prometheus-operator.dev/runbooks/node/nodetextfilecollectorscrapeerror" TargetMode="External" Id="rId109" /><Relationship Type="http://schemas.openxmlformats.org/officeDocument/2006/relationships/hyperlink" Target="https://runbooks.prometheus-operator.dev/runbooks/node/nodeclockskewdetected" TargetMode="External" Id="rId110" /><Relationship Type="http://schemas.openxmlformats.org/officeDocument/2006/relationships/hyperlink" Target="https://runbooks.prometheus-operator.dev/runbooks/node/nodeclocknotsynchronising" TargetMode="External" Id="rId111" /><Relationship Type="http://schemas.openxmlformats.org/officeDocument/2006/relationships/hyperlink" Target="https://runbooks.prometheus-operator.dev/runbooks/node/noderaiddegraded" TargetMode="External" Id="rId112" /><Relationship Type="http://schemas.openxmlformats.org/officeDocument/2006/relationships/hyperlink" Target="https://runbooks.prometheus-operator.dev/runbooks/node/noderaiddiskfailure" TargetMode="External" Id="rId113" /><Relationship Type="http://schemas.openxmlformats.org/officeDocument/2006/relationships/hyperlink" Target="https://runbooks.prometheus-operator.dev/runbooks/node/nodefiledescriptorlimit" TargetMode="External" Id="rId114" /><Relationship Type="http://schemas.openxmlformats.org/officeDocument/2006/relationships/hyperlink" Target="https://runbooks.prometheus-operator.dev/runbooks/node/nodefiledescriptorlimit" TargetMode="External" Id="rId115" /><Relationship Type="http://schemas.openxmlformats.org/officeDocument/2006/relationships/hyperlink" Target="https://runbooks.prometheus-operator.dev/runbooks/node/nodecpuhighusage" TargetMode="External" Id="rId116" /><Relationship Type="http://schemas.openxmlformats.org/officeDocument/2006/relationships/hyperlink" Target="https://runbooks.prometheus-operator.dev/runbooks/node/nodesystemsaturation" TargetMode="External" Id="rId117" /><Relationship Type="http://schemas.openxmlformats.org/officeDocument/2006/relationships/hyperlink" Target="https://runbooks.prometheus-operator.dev/runbooks/node/nodememorymajorpagesfaults" TargetMode="External" Id="rId118" /><Relationship Type="http://schemas.openxmlformats.org/officeDocument/2006/relationships/hyperlink" Target="https://runbooks.prometheus-operator.dev/runbooks/node/nodememoryhighutilization" TargetMode="External" Id="rId119" /><Relationship Type="http://schemas.openxmlformats.org/officeDocument/2006/relationships/hyperlink" Target="https://runbooks.prometheus-operator.dev/runbooks/node/nodediskiosaturation" TargetMode="External" Id="rId120" /><Relationship Type="http://schemas.openxmlformats.org/officeDocument/2006/relationships/hyperlink" Target="https://runbooks.prometheus-operator.dev/runbooks/node/nodesystemdservicefailed" TargetMode="External" Id="rId121" /><Relationship Type="http://schemas.openxmlformats.org/officeDocument/2006/relationships/hyperlink" Target="https://runbooks.prometheus-operator.dev/runbooks/node/nodesystemdservicecrashlooping" TargetMode="External" Id="rId122" /><Relationship Type="http://schemas.openxmlformats.org/officeDocument/2006/relationships/hyperlink" Target="https://runbooks.prometheus-operator.dev/runbooks/node/nodebondingdegraded" TargetMode="External" Id="rId123" /><Relationship Type="http://schemas.openxmlformats.org/officeDocument/2006/relationships/hyperlink" Target="https://runbooks.prometheus-operator.dev/runbooks/general/nodenetworkinterfaceflapping" TargetMode="External" Id="rId124" /><Relationship Type="http://schemas.openxmlformats.org/officeDocument/2006/relationships/hyperlink" Target="https://runbooks.prometheus-operator.dev/runbooks/prometheus/prometheusbadconfig" TargetMode="External" Id="rId125" /><Relationship Type="http://schemas.openxmlformats.org/officeDocument/2006/relationships/hyperlink" Target="https://runbooks.prometheus-operator.dev/runbooks/prometheus/prometheussdrefreshfailure" TargetMode="External" Id="rId126" /><Relationship Type="http://schemas.openxmlformats.org/officeDocument/2006/relationships/hyperlink" Target="https://runbooks.prometheus-operator.dev/runbooks/prometheus/prometheuskuberneteslistwatchfailures" TargetMode="External" Id="rId127" /><Relationship Type="http://schemas.openxmlformats.org/officeDocument/2006/relationships/hyperlink" Target="https://runbooks.prometheus-operator.dev/runbooks/prometheus/prometheusnotificationqueuerunningfull" TargetMode="External" Id="rId128" /><Relationship Type="http://schemas.openxmlformats.org/officeDocument/2006/relationships/hyperlink" Target="https://runbooks.prometheus-operator.dev/runbooks/prometheus/prometheuserrorsendingalertstosomealertmanagers" TargetMode="External" Id="rId129" /><Relationship Type="http://schemas.openxmlformats.org/officeDocument/2006/relationships/hyperlink" Target="https://runbooks.prometheus-operator.dev/runbooks/prometheus/prometheusnotconnectedtoalertmanagers" TargetMode="External" Id="rId130" /><Relationship Type="http://schemas.openxmlformats.org/officeDocument/2006/relationships/hyperlink" Target="https://runbooks.prometheus-operator.dev/runbooks/prometheus/prometheustsdbreloadsfailing" TargetMode="External" Id="rId131" /><Relationship Type="http://schemas.openxmlformats.org/officeDocument/2006/relationships/hyperlink" Target="https://runbooks.prometheus-operator.dev/runbooks/prometheus/prometheustsdbcompactionsfailing" TargetMode="External" Id="rId132" /><Relationship Type="http://schemas.openxmlformats.org/officeDocument/2006/relationships/hyperlink" Target="https://runbooks.prometheus-operator.dev/runbooks/prometheus/prometheusnotingestingsamples" TargetMode="External" Id="rId133" /><Relationship Type="http://schemas.openxmlformats.org/officeDocument/2006/relationships/hyperlink" Target="https://runbooks.prometheus-operator.dev/runbooks/prometheus/prometheusduplicatetimestamps" TargetMode="External" Id="rId134" /><Relationship Type="http://schemas.openxmlformats.org/officeDocument/2006/relationships/hyperlink" Target="https://runbooks.prometheus-operator.dev/runbooks/prometheus/prometheusoutofordertimestamps" TargetMode="External" Id="rId135" /><Relationship Type="http://schemas.openxmlformats.org/officeDocument/2006/relationships/hyperlink" Target="https://runbooks.prometheus-operator.dev/runbooks/prometheus/prometheusremotestoragefailures" TargetMode="External" Id="rId136" /><Relationship Type="http://schemas.openxmlformats.org/officeDocument/2006/relationships/hyperlink" Target="https://runbooks.prometheus-operator.dev/runbooks/prometheus/prometheusremotewritebehind" TargetMode="External" Id="rId137" /><Relationship Type="http://schemas.openxmlformats.org/officeDocument/2006/relationships/hyperlink" Target="https://runbooks.prometheus-operator.dev/runbooks/prometheus/prometheusremotewritedesiredshards" TargetMode="External" Id="rId138" /><Relationship Type="http://schemas.openxmlformats.org/officeDocument/2006/relationships/hyperlink" Target="https://runbooks.prometheus-operator.dev/runbooks/prometheus/prometheusrulefailures" TargetMode="External" Id="rId139" /><Relationship Type="http://schemas.openxmlformats.org/officeDocument/2006/relationships/hyperlink" Target="https://runbooks.prometheus-operator.dev/runbooks/prometheus/prometheusmissingruleevaluations" TargetMode="External" Id="rId140" /><Relationship Type="http://schemas.openxmlformats.org/officeDocument/2006/relationships/hyperlink" Target="https://runbooks.prometheus-operator.dev/runbooks/prometheus/prometheustargetlimithit" TargetMode="External" Id="rId141" /><Relationship Type="http://schemas.openxmlformats.org/officeDocument/2006/relationships/hyperlink" Target="https://runbooks.prometheus-operator.dev/runbooks/prometheus/prometheuslabellimithit" TargetMode="External" Id="rId142" /><Relationship Type="http://schemas.openxmlformats.org/officeDocument/2006/relationships/hyperlink" Target="https://runbooks.prometheus-operator.dev/runbooks/prometheus/prometheusscrapebodysizelimithit" TargetMode="External" Id="rId143" /><Relationship Type="http://schemas.openxmlformats.org/officeDocument/2006/relationships/hyperlink" Target="https://runbooks.prometheus-operator.dev/runbooks/prometheus/prometheusscrapesamplelimithit" TargetMode="External" Id="rId144" /><Relationship Type="http://schemas.openxmlformats.org/officeDocument/2006/relationships/hyperlink" Target="https://runbooks.prometheus-operator.dev/runbooks/prometheus/prometheustargetsyncfailure" TargetMode="External" Id="rId145" /><Relationship Type="http://schemas.openxmlformats.org/officeDocument/2006/relationships/hyperlink" Target="https://runbooks.prometheus-operator.dev/runbooks/prometheus/prometheushighqueryload" TargetMode="External" Id="rId146" /><Relationship Type="http://schemas.openxmlformats.org/officeDocument/2006/relationships/hyperlink" Target="https://runbooks.prometheus-operator.dev/runbooks/prometheus/prometheuserrorsendingalertstoanyalertmanager" TargetMode="External" Id="rId147" /><Relationship Type="http://schemas.openxmlformats.org/officeDocument/2006/relationships/hyperlink" Target="https://runbooks.prometheus-operator.dev/runbooks/prometheus-operator/prometheusoperatorlisterrors" TargetMode="External" Id="rId148" /><Relationship Type="http://schemas.openxmlformats.org/officeDocument/2006/relationships/hyperlink" Target="https://runbooks.prometheus-operator.dev/runbooks/prometheus-operator/prometheusoperatorwatcherrors" TargetMode="External" Id="rId149" /><Relationship Type="http://schemas.openxmlformats.org/officeDocument/2006/relationships/hyperlink" Target="https://runbooks.prometheus-operator.dev/runbooks/prometheus-operator/prometheusoperatorsyncfailed" TargetMode="External" Id="rId150" /><Relationship Type="http://schemas.openxmlformats.org/officeDocument/2006/relationships/hyperlink" Target="https://runbooks.prometheus-operator.dev/runbooks/prometheus-operator/prometheusoperatorreconcileerrors" TargetMode="External" Id="rId151" /><Relationship Type="http://schemas.openxmlformats.org/officeDocument/2006/relationships/hyperlink" Target="https://runbooks.prometheus-operator.dev/runbooks/prometheus-operator/prometheusoperatorstatusupdateerrors" TargetMode="External" Id="rId152" /><Relationship Type="http://schemas.openxmlformats.org/officeDocument/2006/relationships/hyperlink" Target="https://runbooks.prometheus-operator.dev/runbooks/prometheus-operator/prometheusoperatornodelookuperrors" TargetMode="External" Id="rId153" /><Relationship Type="http://schemas.openxmlformats.org/officeDocument/2006/relationships/hyperlink" Target="https://runbooks.prometheus-operator.dev/runbooks/prometheus-operator/prometheusoperatornotready" TargetMode="External" Id="rId154" /><Relationship Type="http://schemas.openxmlformats.org/officeDocument/2006/relationships/hyperlink" Target="https://runbooks.prometheus-operator.dev/runbooks/prometheus-operator/prometheusoperatorrejectedresources" TargetMode="External" Id="rId155" /></Relationships>
</file>

<file path=xl/worksheets/sheet1.xml><?xml version="1.0" encoding="utf-8"?>
<worksheet xmlns="http://schemas.openxmlformats.org/spreadsheetml/2006/main">
  <sheetPr>
    <outlinePr summaryBelow="1" summaryRight="1"/>
    <pageSetUpPr fitToPage="1"/>
  </sheetPr>
  <dimension ref="A1:N156"/>
  <sheetViews>
    <sheetView zoomScale="90"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26" customWidth="1" min="3" max="3"/>
    <col width="38" customWidth="1" min="4" max="4"/>
    <col width="11" customWidth="1" min="5" max="5"/>
    <col width="40" customWidth="1" min="6" max="6"/>
    <col width="60" customWidth="1" min="7" max="7"/>
    <col width="14" customWidth="1" min="8" max="8"/>
    <col width="16" customWidth="1" min="9" max="9"/>
    <col width="40" customWidth="1" min="10" max="10"/>
    <col width="50" customWidth="1" min="11" max="11"/>
    <col width="70" customWidth="1" min="12" max="12"/>
    <col width="40" customWidth="1" min="13" max="13"/>
    <col width="45" customWidth="1" min="14" max="14"/>
  </cols>
  <sheetData>
    <row r="1" ht="30" customHeight="1">
      <c r="A1" s="1" t="inlineStr">
        <is>
          <t>No.</t>
        </is>
      </c>
      <c r="B1" s="1" t="inlineStr">
        <is>
          <t>カテゴリ(ルールグループ)</t>
        </is>
      </c>
      <c r="C1" s="1" t="inlineStr">
        <is>
          <t>対象コンポーネント</t>
        </is>
      </c>
      <c r="D1" s="1" t="inlineStr">
        <is>
          <t>アラート名</t>
        </is>
      </c>
      <c r="E1" s="1" t="inlineStr">
        <is>
          <t>重要度
(severity)</t>
        </is>
      </c>
      <c r="F1" s="1" t="inlineStr">
        <is>
          <t>監視内容</t>
        </is>
      </c>
      <c r="G1" s="1" t="inlineStr">
        <is>
          <t>発報条件・閾値</t>
        </is>
      </c>
      <c r="H1" s="1" t="inlineStr">
        <is>
          <t>継続時間
(for)</t>
        </is>
      </c>
      <c r="I1" s="1" t="inlineStr">
        <is>
          <t>追加ラベル</t>
        </is>
      </c>
      <c r="J1" s="1" t="inlineStr">
        <is>
          <t>Summary(原文)</t>
        </is>
      </c>
      <c r="K1" s="1" t="inlineStr">
        <is>
          <t>Description(原文)</t>
        </is>
      </c>
      <c r="L1" s="1" t="inlineStr">
        <is>
          <t>PromQL(expr)</t>
        </is>
      </c>
      <c r="M1" s="1" t="inlineStr">
        <is>
          <t>Runbook URL</t>
        </is>
      </c>
      <c r="N1" s="1" t="inlineStr">
        <is>
          <t>備考</t>
        </is>
      </c>
    </row>
    <row r="2">
      <c r="A2" s="2" t="n">
        <v>1</v>
      </c>
      <c r="B2" s="3" t="inlineStr">
        <is>
          <t>alertmanager.rules</t>
        </is>
      </c>
      <c r="C2" s="3" t="inlineStr">
        <is>
          <t>Alertmanager</t>
        </is>
      </c>
      <c r="D2" s="3" t="inlineStr">
        <is>
          <t>AlertmanagerFailedReload</t>
        </is>
      </c>
      <c r="E2" s="4" t="inlineStr">
        <is>
          <t>critical</t>
        </is>
      </c>
      <c r="F2" s="3" t="inlineStr">
        <is>
          <t>Alertmanager の設定リロード成否</t>
        </is>
      </c>
      <c r="G2" s="3" t="inlineStr">
        <is>
          <t>直近 5 分間の設定リロードが一度も成功していない(alertmanager_config_last_reload_successful == 0)</t>
        </is>
      </c>
      <c r="H2" s="2" t="inlineStr">
        <is>
          <t>10m(10分)</t>
        </is>
      </c>
      <c r="I2" s="3" t="inlineStr"/>
      <c r="J2" s="3" t="inlineStr">
        <is>
          <t>Reloading an Alertmanager configuration has failed.</t>
        </is>
      </c>
      <c r="K2" s="3" t="inlineStr">
        <is>
          <t>Configuration has failed to load for {{ $labels.namespace }}/{{ $labels.pod}}.</t>
        </is>
      </c>
      <c r="L2" s="5" t="inlineStr">
        <is>
          <t># Without max_over_time, failed scrapes could create false negatives, see
# https://www.robustperception.io/alerting-on-gauges-in-prometheus-2-0 for details.
max_over_time(alertmanager_config_last_reload_successful{job="monitoring-kube-prometheus-alertmanager",container="alertmanager",namespace="monitoring"}[5m]) == 0</t>
        </is>
      </c>
      <c r="M2" s="6" t="inlineStr">
        <is>
          <t>https://runbooks.prometheus-operator.dev/runbooks/alertmanager/alertmanagerfailedreload</t>
        </is>
      </c>
      <c r="N2" s="3" t="inlineStr"/>
    </row>
    <row r="3">
      <c r="A3" s="2" t="n">
        <v>2</v>
      </c>
      <c r="B3" s="3" t="inlineStr">
        <is>
          <t>alertmanager.rules</t>
        </is>
      </c>
      <c r="C3" s="3" t="inlineStr">
        <is>
          <t>Alertmanager</t>
        </is>
      </c>
      <c r="D3" s="3" t="inlineStr">
        <is>
          <t>AlertmanagerMembersInconsistent</t>
        </is>
      </c>
      <c r="E3" s="4" t="inlineStr">
        <is>
          <t>critical</t>
        </is>
      </c>
      <c r="F3" s="3" t="inlineStr">
        <is>
          <t>Alertmanager クラスタのメンバー認識数</t>
        </is>
      </c>
      <c r="G3" s="3" t="inlineStr">
        <is>
          <t>各インスタンスが認識しているクラスタメンバー数が、実際のインスタンス数より少ない</t>
        </is>
      </c>
      <c r="H3" s="2" t="inlineStr">
        <is>
          <t>15m(15分)</t>
        </is>
      </c>
      <c r="I3" s="3" t="inlineStr"/>
      <c r="J3" s="3" t="inlineStr">
        <is>
          <t>A member of an Alertmanager cluster has not found all other cluster members.</t>
        </is>
      </c>
      <c r="K3" s="3" t="inlineStr">
        <is>
          <t>Alertmanager {{ $labels.namespace }}/{{ $labels.pod}} has only found {{ $value }} members of the {{$labels.job}} cluster.</t>
        </is>
      </c>
      <c r="L3" s="5" t="inlineStr">
        <is>
          <t># Without max_over_time, failed scrapes could create false negatives, see
# https://www.robustperception.io/alerting-on-gauges-in-prometheus-2-0 for details.
  max_over_time(alertmanager_cluster_members{job="monitoring-kube-prometheus-alertmanager",container="alertmanager",namespace="monitoring"}[5m])
&lt; on (namespace,service,cluster) group_left
  count by (namespace,service,cluster) (max_over_time(alertmanager_cluster_members{job="monitoring-kube-prometheus-alertmanager",container="alertmanager",namespace="monitoring"}[5m]))</t>
        </is>
      </c>
      <c r="M3" s="6" t="inlineStr">
        <is>
          <t>https://runbooks.prometheus-operator.dev/runbooks/alertmanager/alertmanagermembersinconsistent</t>
        </is>
      </c>
      <c r="N3" s="3" t="inlineStr"/>
    </row>
    <row r="4">
      <c r="A4" s="2" t="n">
        <v>3</v>
      </c>
      <c r="B4" s="3" t="inlineStr">
        <is>
          <t>alertmanager.rules</t>
        </is>
      </c>
      <c r="C4" s="3" t="inlineStr">
        <is>
          <t>Alertmanager</t>
        </is>
      </c>
      <c r="D4" s="3" t="inlineStr">
        <is>
          <t>AlertmanagerFailedToSendAlerts</t>
        </is>
      </c>
      <c r="E4" s="7" t="inlineStr">
        <is>
          <t>warning</t>
        </is>
      </c>
      <c r="F4" s="3" t="inlineStr">
        <is>
          <t>Alertmanager インスタンス単位の通知送信失敗率</t>
        </is>
      </c>
      <c r="G4" s="3" t="inlineStr">
        <is>
          <t>直近 15 分間の通知送信失敗率が 1% を超過(インテグレーション別)</t>
        </is>
      </c>
      <c r="H4" s="2" t="inlineStr">
        <is>
          <t>5m(5分)</t>
        </is>
      </c>
      <c r="I4" s="3" t="inlineStr"/>
      <c r="J4" s="3" t="inlineStr">
        <is>
          <t>An Alertmanager instance failed to send notifications.</t>
        </is>
      </c>
      <c r="K4" s="3" t="inlineStr">
        <is>
          <t>Alertmanager {{ $labels.namespace }}/{{ $labels.pod}} failed to send {{ $value | humanizePercentage }} of notifications to {{ $labels.integration }}.</t>
        </is>
      </c>
      <c r="L4" s="5" t="inlineStr">
        <is>
          <t>(
  rate(alertmanager_notifications_failed_total{job="monitoring-kube-prometheus-alertmanager",container="alertmanager",namespace="monitoring"}[15m])
/
  ignoring (reason) group_left rate(alertmanager_notifications_total{job="monitoring-kube-prometheus-alertmanager",container="alertmanager",namespace="monitoring"}[15m])
)
&gt; 0.01</t>
        </is>
      </c>
      <c r="M4" s="6" t="inlineStr">
        <is>
          <t>https://runbooks.prometheus-operator.dev/runbooks/alertmanager/alertmanagerfailedtosendalerts</t>
        </is>
      </c>
      <c r="N4" s="3" t="inlineStr"/>
    </row>
    <row r="5">
      <c r="A5" s="2" t="n">
        <v>4</v>
      </c>
      <c r="B5" s="3" t="inlineStr">
        <is>
          <t>alertmanager.rules</t>
        </is>
      </c>
      <c r="C5" s="3" t="inlineStr">
        <is>
          <t>Alertmanager</t>
        </is>
      </c>
      <c r="D5" s="3" t="inlineStr">
        <is>
          <t>AlertmanagerClusterFailedToSendAlerts</t>
        </is>
      </c>
      <c r="E5" s="4" t="inlineStr">
        <is>
          <t>critical</t>
        </is>
      </c>
      <c r="F5" s="3" t="inlineStr">
        <is>
          <t>Alertmanager クラスタ全体の通知送信失敗率(重要インテグレーション)</t>
        </is>
      </c>
      <c r="G5" s="3" t="inlineStr">
        <is>
          <t>クラスタ内の全インスタンスで、直近 15 分間の通知送信失敗率の最小値が 1% を超過</t>
        </is>
      </c>
      <c r="H5" s="2" t="inlineStr">
        <is>
          <t>5m(5分)</t>
        </is>
      </c>
      <c r="I5" s="3" t="inlineStr"/>
      <c r="J5" s="3" t="inlineStr">
        <is>
          <t>All Alertmanager instances in a cluster failed to send notifications to a critical integration.</t>
        </is>
      </c>
      <c r="K5" s="3" t="inlineStr">
        <is>
          <t>The minimum notification failure rate to {{ $labels.integration }} sent from any instance in the {{$labels.job}} cluster is {{ $value | humanizePercentage }}.</t>
        </is>
      </c>
      <c r="L5" s="5" t="inlineStr">
        <is>
          <t>min by (namespace,service, integration) (
  rate(alertmanager_notifications_failed_total{job="monitoring-kube-prometheus-alertmanager",container="alertmanager",namespace="monitoring", integration=~`.*`}[15m])
/
  ignoring (reason) group_left rate(alertmanager_notifications_total{job="monitoring-kube-prometheus-alertmanager",container="alertmanager",namespace="monitoring", integration=~`.*`}[15m]) &gt; 0
)
&gt; 0.01</t>
        </is>
      </c>
      <c r="M5" s="6" t="inlineStr">
        <is>
          <t>https://runbooks.prometheus-operator.dev/runbooks/alertmanager/alertmanagerclusterfailedtosendalerts</t>
        </is>
      </c>
      <c r="N5" s="3" t="inlineStr">
        <is>
          <t>本環境では integration=~`.*` のため全インテグレーションが本条件に該当する。同名アラートが複数段階(severity 別)で定義されている。</t>
        </is>
      </c>
    </row>
    <row r="6">
      <c r="A6" s="2" t="n">
        <v>5</v>
      </c>
      <c r="B6" s="3" t="inlineStr">
        <is>
          <t>alertmanager.rules</t>
        </is>
      </c>
      <c r="C6" s="3" t="inlineStr">
        <is>
          <t>Alertmanager</t>
        </is>
      </c>
      <c r="D6" s="3" t="inlineStr">
        <is>
          <t>AlertmanagerClusterFailedToSendAlerts</t>
        </is>
      </c>
      <c r="E6" s="7" t="inlineStr">
        <is>
          <t>warning</t>
        </is>
      </c>
      <c r="F6" s="3" t="inlineStr">
        <is>
          <t>Alertmanager クラスタ全体の通知送信失敗率(非重要インテグレーション)</t>
        </is>
      </c>
      <c r="G6" s="3" t="inlineStr">
        <is>
          <t>クラスタ内の全インスタンスで、直近 15 分間の通知送信失敗率の最小値が 1% を超過</t>
        </is>
      </c>
      <c r="H6" s="2" t="inlineStr">
        <is>
          <t>5m(5分)</t>
        </is>
      </c>
      <c r="I6" s="3" t="inlineStr"/>
      <c r="J6" s="3" t="inlineStr">
        <is>
          <t>All Alertmanager instances in a cluster failed to send notifications to a non-critical integration.</t>
        </is>
      </c>
      <c r="K6" s="3" t="inlineStr">
        <is>
          <t>The minimum notification failure rate to {{ $labels.integration }} sent from any instance in the {{$labels.job}} cluster is {{ $value | humanizePercentage }}.</t>
        </is>
      </c>
      <c r="L6" s="5" t="inlineStr">
        <is>
          <t>min by (namespace,service, integration) (
  rate(alertmanager_notifications_failed_total{job="monitoring-kube-prometheus-alertmanager",container="alertmanager",namespace="monitoring", integration!~`.*`}[15m])
/
  ignoring (reason) group_left rate(alertmanager_notifications_total{job="monitoring-kube-prometheus-alertmanager",container="alertmanager",namespace="monitoring", integration!~`.*`}[15m]) &gt; 0
)
&gt; 0.01</t>
        </is>
      </c>
      <c r="M6" s="6" t="inlineStr">
        <is>
          <t>https://runbooks.prometheus-operator.dev/runbooks/alertmanager/alertmanagerclusterfailedtosendalerts</t>
        </is>
      </c>
      <c r="N6" s="3" t="inlineStr">
        <is>
          <t>本環境では integration!~`.*` のため対象インテグレーションは存在せず、実質発報しない。同名アラートが複数段階(severity 別)で定義されている。</t>
        </is>
      </c>
    </row>
    <row r="7">
      <c r="A7" s="2" t="n">
        <v>6</v>
      </c>
      <c r="B7" s="3" t="inlineStr">
        <is>
          <t>alertmanager.rules</t>
        </is>
      </c>
      <c r="C7" s="3" t="inlineStr">
        <is>
          <t>Alertmanager</t>
        </is>
      </c>
      <c r="D7" s="3" t="inlineStr">
        <is>
          <t>AlertmanagerConfigInconsistent</t>
        </is>
      </c>
      <c r="E7" s="4" t="inlineStr">
        <is>
          <t>critical</t>
        </is>
      </c>
      <c r="F7" s="3" t="inlineStr">
        <is>
          <t>Alertmanager クラスタ内の設定一致性</t>
        </is>
      </c>
      <c r="G7" s="3" t="inlineStr">
        <is>
          <t>同一クラスタ内のインスタンス間で設定ハッシュが 2 種類以上存在する(設定不一致)</t>
        </is>
      </c>
      <c r="H7" s="2" t="inlineStr">
        <is>
          <t>20m(20分)</t>
        </is>
      </c>
      <c r="I7" s="3" t="inlineStr"/>
      <c r="J7" s="3" t="inlineStr">
        <is>
          <t>Alertmanager instances within the same cluster have different configurations.</t>
        </is>
      </c>
      <c r="K7" s="3" t="inlineStr">
        <is>
          <t>Alertmanager instances within the {{$labels.job}} cluster have different configurations.</t>
        </is>
      </c>
      <c r="L7" s="5" t="inlineStr">
        <is>
          <t>count by (namespace,service,cluster) (
  count_values by (namespace,service,cluster) ("config_hash", alertmanager_config_hash{job="monitoring-kube-prometheus-alertmanager",container="alertmanager",namespace="monitoring"})
)
!= 1</t>
        </is>
      </c>
      <c r="M7" s="6" t="inlineStr">
        <is>
          <t>https://runbooks.prometheus-operator.dev/runbooks/alertmanager/alertmanagerconfiginconsistent</t>
        </is>
      </c>
      <c r="N7" s="3" t="inlineStr"/>
    </row>
    <row r="8">
      <c r="A8" s="2" t="n">
        <v>7</v>
      </c>
      <c r="B8" s="3" t="inlineStr">
        <is>
          <t>alertmanager.rules</t>
        </is>
      </c>
      <c r="C8" s="3" t="inlineStr">
        <is>
          <t>Alertmanager</t>
        </is>
      </c>
      <c r="D8" s="3" t="inlineStr">
        <is>
          <t>AlertmanagerClusterDown</t>
        </is>
      </c>
      <c r="E8" s="4" t="inlineStr">
        <is>
          <t>critical</t>
        </is>
      </c>
      <c r="F8" s="3" t="inlineStr">
        <is>
          <t>Alertmanager クラスタの稼働インスタンス数</t>
        </is>
      </c>
      <c r="G8" s="3" t="inlineStr">
        <is>
          <t>直近 5 分間の平均稼働率(up)が 0.5 未満のインスタンスが、クラスタの半数以上</t>
        </is>
      </c>
      <c r="H8" s="2" t="inlineStr">
        <is>
          <t>5m(5分)</t>
        </is>
      </c>
      <c r="I8" s="3" t="inlineStr"/>
      <c r="J8" s="3" t="inlineStr">
        <is>
          <t>Half or more of the Alertmanager instances within the same cluster are down.</t>
        </is>
      </c>
      <c r="K8" s="3" t="inlineStr">
        <is>
          <t>{{ $value | humanizePercentage }} of Alertmanager instances within the {{$labels.job}} cluster have been up for less than half of the last 5m.</t>
        </is>
      </c>
      <c r="L8" s="5" t="inlineStr">
        <is>
          <t>(
  count by (namespace,service,cluster) (
    avg_over_time(up{job="monitoring-kube-prometheus-alertmanager",container="alertmanager",namespace="monitoring"}[5m]) &lt; 0.5
  )
/
  count by (namespace,service,cluster) (
    up{job="monitoring-kube-prometheus-alertmanager",container="alertmanager",namespace="monitoring"}
  )
)
&gt;= 0.5</t>
        </is>
      </c>
      <c r="M8" s="6" t="inlineStr">
        <is>
          <t>https://runbooks.prometheus-operator.dev/runbooks/alertmanager/alertmanagerclusterdown</t>
        </is>
      </c>
      <c r="N8" s="3" t="inlineStr"/>
    </row>
    <row r="9">
      <c r="A9" s="2" t="n">
        <v>8</v>
      </c>
      <c r="B9" s="3" t="inlineStr">
        <is>
          <t>alertmanager.rules</t>
        </is>
      </c>
      <c r="C9" s="3" t="inlineStr">
        <is>
          <t>Alertmanager</t>
        </is>
      </c>
      <c r="D9" s="3" t="inlineStr">
        <is>
          <t>AlertmanagerClusterCrashlooping</t>
        </is>
      </c>
      <c r="E9" s="4" t="inlineStr">
        <is>
          <t>critical</t>
        </is>
      </c>
      <c r="F9" s="3" t="inlineStr">
        <is>
          <t>Alertmanager クラスタのクラッシュループ</t>
        </is>
      </c>
      <c r="G9" s="3" t="inlineStr">
        <is>
          <t>直近 10 分間にプロセス再起動が 4 回を超えたインスタンスが、クラスタの半数以上</t>
        </is>
      </c>
      <c r="H9" s="2" t="inlineStr">
        <is>
          <t>5m(5分)</t>
        </is>
      </c>
      <c r="I9" s="3" t="inlineStr"/>
      <c r="J9" s="3" t="inlineStr">
        <is>
          <t>Half or more of the Alertmanager instances within the same cluster are crashlooping.</t>
        </is>
      </c>
      <c r="K9" s="3" t="inlineStr">
        <is>
          <t>{{ $value | humanizePercentage }} of Alertmanager instances within the {{$labels.job}} cluster have restarted at least 5 times in the last 10m.</t>
        </is>
      </c>
      <c r="L9" s="5" t="inlineStr">
        <is>
          <t>(
  count by (namespace,service,cluster) (
    changes(process_start_time_seconds{job="monitoring-kube-prometheus-alertmanager",container="alertmanager",namespace="monitoring"}[10m]) &gt; 4
  )
/
  count by (namespace,service,cluster) (
    up{job="monitoring-kube-prometheus-alertmanager",container="alertmanager",namespace="monitoring"}
  )
)
&gt;= 0.5</t>
        </is>
      </c>
      <c r="M9" s="6" t="inlineStr">
        <is>
          <t>https://runbooks.prometheus-operator.dev/runbooks/alertmanager/alertmanagerclustercrashlooping</t>
        </is>
      </c>
      <c r="N9" s="3" t="inlineStr"/>
    </row>
    <row r="10">
      <c r="A10" s="2" t="n">
        <v>9</v>
      </c>
      <c r="B10" s="3" t="inlineStr">
        <is>
          <t>alertmanager.rules</t>
        </is>
      </c>
      <c r="C10" s="3" t="inlineStr">
        <is>
          <t>Alertmanager</t>
        </is>
      </c>
      <c r="D10" s="3" t="inlineStr">
        <is>
          <t>AlertmanagerClusterFailedPeers</t>
        </is>
      </c>
      <c r="E10" s="7" t="inlineStr">
        <is>
          <t>warning</t>
        </is>
      </c>
      <c r="F10" s="3" t="inlineStr">
        <is>
          <t>Alertmanager クラスタのピア接続失敗</t>
        </is>
      </c>
      <c r="G10" s="3" t="inlineStr">
        <is>
          <t>直近 5 分間で接続に失敗しているピア数が 0 より大きい</t>
        </is>
      </c>
      <c r="H10" s="2" t="inlineStr">
        <is>
          <t>15m(15分)</t>
        </is>
      </c>
      <c r="I10" s="3" t="inlineStr"/>
      <c r="J10" s="3" t="inlineStr">
        <is>
          <t>An Alertmanager instance has failed peers in the cluster.</t>
        </is>
      </c>
      <c r="K10" s="3" t="inlineStr">
        <is>
          <t>Alertmanager {{ $labels.namespace }}/{{ $labels.pod}} has {{ $value }} failed peers in the {{$labels.job}} cluster.</t>
        </is>
      </c>
      <c r="L10" s="5" t="inlineStr">
        <is>
          <t># Without max_over_time, failed scrapes could create false negatives, see
# https://www.robustperception.io/alerting-on-gauges-in-prometheus-2-0 for details.
max_over_time(alertmanager_cluster_failed_peers{job="monitoring-kube-prometheus-alertmanager",container="alertmanager",namespace="monitoring"}[5m]) &gt; 0</t>
        </is>
      </c>
      <c r="M10" s="6" t="inlineStr">
        <is>
          <t>https://runbooks.prometheus-operator.dev/runbooks/alertmanager/alertmanagerclusterfailedpeers</t>
        </is>
      </c>
      <c r="N10" s="3" t="inlineStr"/>
    </row>
    <row r="11">
      <c r="A11" s="2" t="n">
        <v>10</v>
      </c>
      <c r="B11" s="3" t="inlineStr">
        <is>
          <t>config-reloaders</t>
        </is>
      </c>
      <c r="C11" s="3" t="inlineStr">
        <is>
          <t>Prometheus Operator(config-reloader)</t>
        </is>
      </c>
      <c r="D11" s="3" t="inlineStr">
        <is>
          <t>ConfigReloaderSidecarErrors</t>
        </is>
      </c>
      <c r="E11" s="7" t="inlineStr">
        <is>
          <t>warning</t>
        </is>
      </c>
      <c r="F11" s="3" t="inlineStr">
        <is>
          <t>config-reloader サイドカーの設定リロード成否</t>
        </is>
      </c>
      <c r="G11" s="3" t="inlineStr">
        <is>
          <t>直近 5 分間の設定リロードが一度も成功していない(reloader_last_reload_successful == 0)</t>
        </is>
      </c>
      <c r="H11" s="2" t="inlineStr">
        <is>
          <t>10m(10分)</t>
        </is>
      </c>
      <c r="I11" s="3" t="inlineStr"/>
      <c r="J11" s="3" t="inlineStr">
        <is>
          <t>config-reloader sidecar has not had a successful reload for 10m</t>
        </is>
      </c>
      <c r="K11" s="3" t="inlineStr">
        <is>
          <t>Errors encountered while the {{$labels.pod}} config-reloader sidecar attempts to sync config in {{$labels.namespace}} namespace.
As a result, configuration for service running in {{$labels.pod}} may be stale and cannot be updated anymore.</t>
        </is>
      </c>
      <c r="L11" s="5" t="inlineStr">
        <is>
          <t>max_over_time(reloader_last_reload_successful{namespace=~".+"}[5m]) == 0</t>
        </is>
      </c>
      <c r="M11" s="6" t="inlineStr">
        <is>
          <t>https://runbooks.prometheus-operator.dev/runbooks/prometheus-operator/configreloadersidecarerrors</t>
        </is>
      </c>
      <c r="N11" s="3" t="inlineStr"/>
    </row>
    <row r="12">
      <c r="A12" s="2" t="n">
        <v>11</v>
      </c>
      <c r="B12" s="3" t="inlineStr">
        <is>
          <t>etcd</t>
        </is>
      </c>
      <c r="C12" s="3" t="inlineStr">
        <is>
          <t>etcd</t>
        </is>
      </c>
      <c r="D12" s="3" t="inlineStr">
        <is>
          <t>etcdMembersDown</t>
        </is>
      </c>
      <c r="E12" s="7" t="inlineStr">
        <is>
          <t>warning</t>
        </is>
      </c>
      <c r="F12" s="3" t="inlineStr">
        <is>
          <t>etcd メンバーの稼働状況</t>
        </is>
      </c>
      <c r="G12" s="3" t="inlineStr">
        <is>
          <t>up == 0 のメンバーが存在する、または直近 120 秒間のピア送信失敗レートが 0.01/秒 を超過</t>
        </is>
      </c>
      <c r="H12" s="2" t="inlineStr">
        <is>
          <t>20m(20分)</t>
        </is>
      </c>
      <c r="I12" s="3" t="inlineStr"/>
      <c r="J12" s="3" t="inlineStr">
        <is>
          <t>etcd cluster members are down.</t>
        </is>
      </c>
      <c r="K12" s="3" t="inlineStr">
        <is>
          <t>etcd cluster "{{ $labels.job }}": members are down ({{ $value }}).</t>
        </is>
      </c>
      <c r="L12" s="5" t="inlineStr">
        <is>
          <t>max without (endpoint) (
  sum without (instance, pod) (up{job=~".*etcd.*"} == bool 0)
or
  count without (To) (
    sum without (instance, pod) (rate(etcd_network_peer_sent_failures_total{job=~".*etcd.*"}[120s])) &gt; 0.01
  )
)
&gt; 0</t>
        </is>
      </c>
      <c r="M12" s="6" t="inlineStr">
        <is>
          <t>https://runbooks.prometheus-operator.dev/runbooks/etcd/etcdmembersdown</t>
        </is>
      </c>
      <c r="N12" s="3" t="inlineStr"/>
    </row>
    <row r="13">
      <c r="A13" s="2" t="n">
        <v>12</v>
      </c>
      <c r="B13" s="3" t="inlineStr">
        <is>
          <t>etcd</t>
        </is>
      </c>
      <c r="C13" s="3" t="inlineStr">
        <is>
          <t>etcd</t>
        </is>
      </c>
      <c r="D13" s="3" t="inlineStr">
        <is>
          <t>etcdInsufficientMembers</t>
        </is>
      </c>
      <c r="E13" s="4" t="inlineStr">
        <is>
          <t>critical</t>
        </is>
      </c>
      <c r="F13" s="3" t="inlineStr">
        <is>
          <t>etcd クラスタの過半数(quorum)維持</t>
        </is>
      </c>
      <c r="G13" s="3" t="inlineStr">
        <is>
          <t>稼働中(up == 1)のメンバー数が (総メンバー数 + 1) / 2 未満(quorum 喪失)</t>
        </is>
      </c>
      <c r="H13" s="2" t="inlineStr">
        <is>
          <t>3m(3分)</t>
        </is>
      </c>
      <c r="I13" s="3" t="inlineStr"/>
      <c r="J13" s="3" t="inlineStr">
        <is>
          <t>etcd cluster has insufficient number of members.</t>
        </is>
      </c>
      <c r="K13" s="3" t="inlineStr">
        <is>
          <t>etcd cluster "{{ $labels.job }}": insufficient members ({{ $value }}).</t>
        </is>
      </c>
      <c r="L13" s="5" t="inlineStr">
        <is>
          <t>sum(up{job=~".*etcd.*"} == bool 1) without (instance, pod) &lt; ((count(up{job=~".*etcd.*"}) without (instance, pod) + 1) / 2)</t>
        </is>
      </c>
      <c r="M13" s="6" t="inlineStr">
        <is>
          <t>https://runbooks.prometheus-operator.dev/runbooks/etcd/etcdinsufficientmembers</t>
        </is>
      </c>
      <c r="N13" s="3" t="inlineStr"/>
    </row>
    <row r="14">
      <c r="A14" s="2" t="n">
        <v>13</v>
      </c>
      <c r="B14" s="3" t="inlineStr">
        <is>
          <t>etcd</t>
        </is>
      </c>
      <c r="C14" s="3" t="inlineStr">
        <is>
          <t>etcd</t>
        </is>
      </c>
      <c r="D14" s="3" t="inlineStr">
        <is>
          <t>etcdNoLeader</t>
        </is>
      </c>
      <c r="E14" s="4" t="inlineStr">
        <is>
          <t>critical</t>
        </is>
      </c>
      <c r="F14" s="3" t="inlineStr">
        <is>
          <t>etcd リーダーの有無</t>
        </is>
      </c>
      <c r="G14" s="3" t="inlineStr">
        <is>
          <t>etcd_server_has_leader == 0(リーダー不在)</t>
        </is>
      </c>
      <c r="H14" s="2" t="inlineStr">
        <is>
          <t>1m(1分)</t>
        </is>
      </c>
      <c r="I14" s="3" t="inlineStr"/>
      <c r="J14" s="3" t="inlineStr">
        <is>
          <t>etcd cluster has no leader.</t>
        </is>
      </c>
      <c r="K14" s="3" t="inlineStr">
        <is>
          <t>etcd cluster "{{ $labels.job }}": member {{ $labels.instance }} has no leader.</t>
        </is>
      </c>
      <c r="L14" s="5" t="inlineStr">
        <is>
          <t>etcd_server_has_leader{job=~".*etcd.*"} == 0</t>
        </is>
      </c>
      <c r="M14" s="6" t="inlineStr">
        <is>
          <t>https://runbooks.prometheus-operator.dev/runbooks/etcd/etcdnoleader</t>
        </is>
      </c>
      <c r="N14" s="3" t="inlineStr"/>
    </row>
    <row r="15">
      <c r="A15" s="2" t="n">
        <v>14</v>
      </c>
      <c r="B15" s="3" t="inlineStr">
        <is>
          <t>etcd</t>
        </is>
      </c>
      <c r="C15" s="3" t="inlineStr">
        <is>
          <t>etcd</t>
        </is>
      </c>
      <c r="D15" s="3" t="inlineStr">
        <is>
          <t>etcdHighNumberOfLeaderChanges</t>
        </is>
      </c>
      <c r="E15" s="7" t="inlineStr">
        <is>
          <t>warning</t>
        </is>
      </c>
      <c r="F15" s="3" t="inlineStr">
        <is>
          <t>etcd リーダー交代回数</t>
        </is>
      </c>
      <c r="G15" s="3" t="inlineStr">
        <is>
          <t>直近 15 分間のリーダー交代回数が 4 回以上</t>
        </is>
      </c>
      <c r="H15" s="2" t="inlineStr">
        <is>
          <t>5m(5分)</t>
        </is>
      </c>
      <c r="I15" s="3" t="inlineStr"/>
      <c r="J15" s="3" t="inlineStr">
        <is>
          <t>etcd cluster has high number of leader changes.</t>
        </is>
      </c>
      <c r="K15" s="3" t="inlineStr">
        <is>
          <t>etcd cluster "{{ $labels.job }}": {{ $value }} leader changes within the last 15 minutes. Frequent elections may be a sign of insufficient resources, high network latency, or disruptions by other components and should be investigated.</t>
        </is>
      </c>
      <c r="L15" s="5" t="inlineStr">
        <is>
          <t>increase((max without (instance, pod) (etcd_server_leader_changes_seen_total{job=~".*etcd.*"}) or 0*absent(etcd_server_leader_changes_seen_total{job=~".*etcd.*"}))[15m:1m]) &gt;= 4</t>
        </is>
      </c>
      <c r="M15" s="6" t="inlineStr">
        <is>
          <t>https://runbooks.prometheus-operator.dev/runbooks/etcd/etcdhighnumberofleaderchanges</t>
        </is>
      </c>
      <c r="N15" s="3" t="inlineStr"/>
    </row>
    <row r="16">
      <c r="A16" s="2" t="n">
        <v>15</v>
      </c>
      <c r="B16" s="3" t="inlineStr">
        <is>
          <t>etcd</t>
        </is>
      </c>
      <c r="C16" s="3" t="inlineStr">
        <is>
          <t>etcd</t>
        </is>
      </c>
      <c r="D16" s="3" t="inlineStr">
        <is>
          <t>etcdHighNumberOfFailedGRPCRequests</t>
        </is>
      </c>
      <c r="E16" s="7" t="inlineStr">
        <is>
          <t>warning</t>
        </is>
      </c>
      <c r="F16" s="3" t="inlineStr">
        <is>
          <t>etcd gRPC リクエスト失敗率</t>
        </is>
      </c>
      <c r="G16" s="3" t="inlineStr">
        <is>
          <t>直近 5 分間の gRPC 失敗率(Unknown/Unavailable/DeadlineExceeded 等)が 1% を超過</t>
        </is>
      </c>
      <c r="H16" s="2" t="inlineStr">
        <is>
          <t>10m(10分)</t>
        </is>
      </c>
      <c r="I16" s="3" t="inlineStr"/>
      <c r="J16" s="3" t="inlineStr">
        <is>
          <t>etcd cluster has high number of failed grpc requests.</t>
        </is>
      </c>
      <c r="K16" s="3" t="inlineStr">
        <is>
          <t>etcd cluster "{{ $labels.job }}": {{ $value }}% of requests for {{ $labels.grpc_method }} failed on etcd instance {{ $labels.instance }}.</t>
        </is>
      </c>
      <c r="L16" s="5" t="inlineStr">
        <is>
          <t>100 * sum(rate(grpc_server_handled_total{job=~".*etcd.*", grpc_code=~"Unknown|FailedPrecondition|ResourceExhausted|Internal|Unavailable|DataLoss|DeadlineExceeded"}[5m])) without (grpc_type, grpc_code)
  /
sum(rate(grpc_server_handled_total{job=~".*etcd.*"}[5m])) without (grpc_type, grpc_code)
  &gt; 1</t>
        </is>
      </c>
      <c r="M16" s="6" t="inlineStr">
        <is>
          <t>https://runbooks.prometheus-operator.dev/runbooks/etcd/etcdhighnumberoffailedgrpcrequests</t>
        </is>
      </c>
      <c r="N16" s="3" t="inlineStr">
        <is>
          <t>同名アラートが複数段階(severity 別)で定義されている。</t>
        </is>
      </c>
    </row>
    <row r="17">
      <c r="A17" s="2" t="n">
        <v>16</v>
      </c>
      <c r="B17" s="3" t="inlineStr">
        <is>
          <t>etcd</t>
        </is>
      </c>
      <c r="C17" s="3" t="inlineStr">
        <is>
          <t>etcd</t>
        </is>
      </c>
      <c r="D17" s="3" t="inlineStr">
        <is>
          <t>etcdHighNumberOfFailedGRPCRequests</t>
        </is>
      </c>
      <c r="E17" s="4" t="inlineStr">
        <is>
          <t>critical</t>
        </is>
      </c>
      <c r="F17" s="3" t="inlineStr">
        <is>
          <t>etcd gRPC リクエスト失敗率</t>
        </is>
      </c>
      <c r="G17" s="3" t="inlineStr">
        <is>
          <t>直近 5 分間の gRPC 失敗率(Unknown/Unavailable/DeadlineExceeded 等)が 5% を超過</t>
        </is>
      </c>
      <c r="H17" s="2" t="inlineStr">
        <is>
          <t>5m(5分)</t>
        </is>
      </c>
      <c r="I17" s="3" t="inlineStr"/>
      <c r="J17" s="3" t="inlineStr">
        <is>
          <t>etcd cluster has high number of failed grpc requests.</t>
        </is>
      </c>
      <c r="K17" s="3" t="inlineStr">
        <is>
          <t>etcd cluster "{{ $labels.job }}": {{ $value }}% of requests for {{ $labels.grpc_method }} failed on etcd instance {{ $labels.instance }}.</t>
        </is>
      </c>
      <c r="L17" s="5" t="inlineStr">
        <is>
          <t>100 * sum(rate(grpc_server_handled_total{job=~".*etcd.*", grpc_code=~"Unknown|FailedPrecondition|ResourceExhausted|Internal|Unavailable|DataLoss|DeadlineExceeded"}[5m])) without (grpc_type, grpc_code)
  /
sum(rate(grpc_server_handled_total{job=~".*etcd.*"}[5m])) without (grpc_type, grpc_code)
  &gt; 5</t>
        </is>
      </c>
      <c r="M17" s="6" t="inlineStr">
        <is>
          <t>https://runbooks.prometheus-operator.dev/runbooks/etcd/etcdhighnumberoffailedgrpcrequests</t>
        </is>
      </c>
      <c r="N17" s="3" t="inlineStr">
        <is>
          <t>同名アラートが複数段階(severity 別)で定義されている。</t>
        </is>
      </c>
    </row>
    <row r="18">
      <c r="A18" s="2" t="n">
        <v>17</v>
      </c>
      <c r="B18" s="3" t="inlineStr">
        <is>
          <t>etcd</t>
        </is>
      </c>
      <c r="C18" s="3" t="inlineStr">
        <is>
          <t>etcd</t>
        </is>
      </c>
      <c r="D18" s="3" t="inlineStr">
        <is>
          <t>etcdGRPCRequestsSlow</t>
        </is>
      </c>
      <c r="E18" s="4" t="inlineStr">
        <is>
          <t>critical</t>
        </is>
      </c>
      <c r="F18" s="3" t="inlineStr">
        <is>
          <t>etcd gRPC 応答時間</t>
        </is>
      </c>
      <c r="G18" s="3" t="inlineStr">
        <is>
          <t>直近 5 分間の unary gRPC 処理時間の 99 パーセンタイルが 0.15 秒を超過(Defragment を除く)</t>
        </is>
      </c>
      <c r="H18" s="2" t="inlineStr">
        <is>
          <t>10m(10分)</t>
        </is>
      </c>
      <c r="I18" s="3" t="inlineStr"/>
      <c r="J18" s="3" t="inlineStr">
        <is>
          <t>etcd grpc requests are slow</t>
        </is>
      </c>
      <c r="K18" s="3" t="inlineStr">
        <is>
          <t>etcd cluster "{{ $labels.job }}": 99th percentile of gRPC requests is {{ $value }}s on etcd instance {{ $labels.instance }} for {{ $labels.grpc_method }} method.</t>
        </is>
      </c>
      <c r="L18" s="5" t="inlineStr">
        <is>
          <t>histogram_quantile(0.99, sum(rate(grpc_server_handling_seconds_bucket{job=~".*etcd.*", grpc_method!="Defragment", grpc_type="unary"}[5m])) without(grpc_type))
&gt; 0.15</t>
        </is>
      </c>
      <c r="M18" s="6" t="inlineStr">
        <is>
          <t>https://runbooks.prometheus-operator.dev/runbooks/etcd/etcdgrpcrequestsslow</t>
        </is>
      </c>
      <c r="N18" s="3" t="inlineStr"/>
    </row>
    <row r="19">
      <c r="A19" s="2" t="n">
        <v>18</v>
      </c>
      <c r="B19" s="3" t="inlineStr">
        <is>
          <t>etcd</t>
        </is>
      </c>
      <c r="C19" s="3" t="inlineStr">
        <is>
          <t>etcd</t>
        </is>
      </c>
      <c r="D19" s="3" t="inlineStr">
        <is>
          <t>etcdMemberCommunicationSlow</t>
        </is>
      </c>
      <c r="E19" s="7" t="inlineStr">
        <is>
          <t>warning</t>
        </is>
      </c>
      <c r="F19" s="3" t="inlineStr">
        <is>
          <t>etcd メンバー間通信の遅延</t>
        </is>
      </c>
      <c r="G19" s="3" t="inlineStr">
        <is>
          <t>直近 5 分間のピア間ラウンドトリップ時間の 99 パーセンタイルが 0.15 秒を超過</t>
        </is>
      </c>
      <c r="H19" s="2" t="inlineStr">
        <is>
          <t>10m(10分)</t>
        </is>
      </c>
      <c r="I19" s="3" t="inlineStr"/>
      <c r="J19" s="3" t="inlineStr">
        <is>
          <t>etcd cluster member communication is slow.</t>
        </is>
      </c>
      <c r="K19" s="3" t="inlineStr">
        <is>
          <t>etcd cluster "{{ $labels.job }}": member communication with {{ $labels.To }} is taking {{ $value }}s on etcd instance {{ $labels.instance }}.</t>
        </is>
      </c>
      <c r="L19" s="5" t="inlineStr">
        <is>
          <t>histogram_quantile(0.99, rate(etcd_network_peer_round_trip_time_seconds_bucket{job=~".*etcd.*"}[5m]))
&gt; 0.15</t>
        </is>
      </c>
      <c r="M19" s="6" t="inlineStr">
        <is>
          <t>https://runbooks.prometheus-operator.dev/runbooks/etcd/etcdmembercommunicationslow</t>
        </is>
      </c>
      <c r="N19" s="3" t="inlineStr"/>
    </row>
    <row r="20">
      <c r="A20" s="2" t="n">
        <v>19</v>
      </c>
      <c r="B20" s="3" t="inlineStr">
        <is>
          <t>etcd</t>
        </is>
      </c>
      <c r="C20" s="3" t="inlineStr">
        <is>
          <t>etcd</t>
        </is>
      </c>
      <c r="D20" s="3" t="inlineStr">
        <is>
          <t>etcdHighNumberOfFailedProposals</t>
        </is>
      </c>
      <c r="E20" s="7" t="inlineStr">
        <is>
          <t>warning</t>
        </is>
      </c>
      <c r="F20" s="3" t="inlineStr">
        <is>
          <t>etcd 提案(proposal)失敗数</t>
        </is>
      </c>
      <c r="G20" s="3" t="inlineStr">
        <is>
          <t>直近 15 分間の提案失敗レートが 5 件/秒 を超過</t>
        </is>
      </c>
      <c r="H20" s="2" t="inlineStr">
        <is>
          <t>15m(15分)</t>
        </is>
      </c>
      <c r="I20" s="3" t="inlineStr"/>
      <c r="J20" s="3" t="inlineStr">
        <is>
          <t>etcd cluster has high number of proposal failures.</t>
        </is>
      </c>
      <c r="K20" s="3" t="inlineStr">
        <is>
          <t>etcd cluster "{{ $labels.job }}": {{ $value }} proposal failures within the last 30 minutes on etcd instance {{ $labels.instance }}.</t>
        </is>
      </c>
      <c r="L20" s="5" t="inlineStr">
        <is>
          <t>rate(etcd_server_proposals_failed_total{job=~".*etcd.*"}[15m]) &gt; 5</t>
        </is>
      </c>
      <c r="M20" s="6" t="inlineStr">
        <is>
          <t>https://runbooks.prometheus-operator.dev/runbooks/etcd/etcdhighnumberoffailedproposals</t>
        </is>
      </c>
      <c r="N20" s="3" t="inlineStr"/>
    </row>
    <row r="21">
      <c r="A21" s="2" t="n">
        <v>20</v>
      </c>
      <c r="B21" s="3" t="inlineStr">
        <is>
          <t>etcd</t>
        </is>
      </c>
      <c r="C21" s="3" t="inlineStr">
        <is>
          <t>etcd</t>
        </is>
      </c>
      <c r="D21" s="3" t="inlineStr">
        <is>
          <t>etcdHighFsyncDurations</t>
        </is>
      </c>
      <c r="E21" s="7" t="inlineStr">
        <is>
          <t>warning</t>
        </is>
      </c>
      <c r="F21" s="3" t="inlineStr">
        <is>
          <t>etcd WAL fsync 時間</t>
        </is>
      </c>
      <c r="G21" s="3" t="inlineStr">
        <is>
          <t>直近 5 分間の WAL fsync 時間の 99 パーセンタイルが 0.5 秒を超過</t>
        </is>
      </c>
      <c r="H21" s="2" t="inlineStr">
        <is>
          <t>10m(10分)</t>
        </is>
      </c>
      <c r="I21" s="3" t="inlineStr"/>
      <c r="J21" s="3" t="inlineStr">
        <is>
          <t>etcd cluster 99th percentile fsync durations are too high.</t>
        </is>
      </c>
      <c r="K21" s="3" t="inlineStr">
        <is>
          <t>etcd cluster "{{ $labels.job }}": 99th percentile fsync durations are {{ $value }}s on etcd instance {{ $labels.instance }}.</t>
        </is>
      </c>
      <c r="L21" s="5" t="inlineStr">
        <is>
          <t>histogram_quantile(0.99, rate(etcd_disk_wal_fsync_duration_seconds_bucket{job=~".*etcd.*"}[5m]))
&gt; 0.5</t>
        </is>
      </c>
      <c r="M21" s="6" t="inlineStr">
        <is>
          <t>https://runbooks.prometheus-operator.dev/runbooks/etcd/etcdhighfsyncdurations</t>
        </is>
      </c>
      <c r="N21" s="3" t="inlineStr">
        <is>
          <t>同名アラートが複数段階(severity 別)で定義されている。</t>
        </is>
      </c>
    </row>
    <row r="22">
      <c r="A22" s="2" t="n">
        <v>21</v>
      </c>
      <c r="B22" s="3" t="inlineStr">
        <is>
          <t>etcd</t>
        </is>
      </c>
      <c r="C22" s="3" t="inlineStr">
        <is>
          <t>etcd</t>
        </is>
      </c>
      <c r="D22" s="3" t="inlineStr">
        <is>
          <t>etcdHighFsyncDurations</t>
        </is>
      </c>
      <c r="E22" s="4" t="inlineStr">
        <is>
          <t>critical</t>
        </is>
      </c>
      <c r="F22" s="3" t="inlineStr">
        <is>
          <t>etcd WAL fsync 時間</t>
        </is>
      </c>
      <c r="G22" s="3" t="inlineStr">
        <is>
          <t>直近 5 分間の WAL fsync 時間の 99 パーセンタイルが 1 秒を超過</t>
        </is>
      </c>
      <c r="H22" s="2" t="inlineStr">
        <is>
          <t>10m(10分)</t>
        </is>
      </c>
      <c r="I22" s="3" t="inlineStr"/>
      <c r="J22" s="3" t="inlineStr">
        <is>
          <t>etcd cluster 99th percentile fsync durations are too high.</t>
        </is>
      </c>
      <c r="K22" s="3" t="inlineStr">
        <is>
          <t>etcd cluster "{{ $labels.job }}": 99th percentile fsync durations are {{ $value }}s on etcd instance {{ $labels.instance }}.</t>
        </is>
      </c>
      <c r="L22" s="5" t="inlineStr">
        <is>
          <t>histogram_quantile(0.99, rate(etcd_disk_wal_fsync_duration_seconds_bucket{job=~".*etcd.*"}[5m]))
&gt; 1</t>
        </is>
      </c>
      <c r="M22" s="6" t="inlineStr">
        <is>
          <t>https://runbooks.prometheus-operator.dev/runbooks/etcd/etcdhighfsyncdurations</t>
        </is>
      </c>
      <c r="N22" s="3" t="inlineStr">
        <is>
          <t>同名アラートが複数段階(severity 別)で定義されている。</t>
        </is>
      </c>
    </row>
    <row r="23">
      <c r="A23" s="2" t="n">
        <v>22</v>
      </c>
      <c r="B23" s="3" t="inlineStr">
        <is>
          <t>etcd</t>
        </is>
      </c>
      <c r="C23" s="3" t="inlineStr">
        <is>
          <t>etcd</t>
        </is>
      </c>
      <c r="D23" s="3" t="inlineStr">
        <is>
          <t>etcdHighCommitDurations</t>
        </is>
      </c>
      <c r="E23" s="7" t="inlineStr">
        <is>
          <t>warning</t>
        </is>
      </c>
      <c r="F23" s="3" t="inlineStr">
        <is>
          <t>etcd バックエンドコミット時間</t>
        </is>
      </c>
      <c r="G23" s="3" t="inlineStr">
        <is>
          <t>直近 5 分間のバックエンドコミット時間の 99 パーセンタイルが 0.25 秒を超過</t>
        </is>
      </c>
      <c r="H23" s="2" t="inlineStr">
        <is>
          <t>10m(10分)</t>
        </is>
      </c>
      <c r="I23" s="3" t="inlineStr"/>
      <c r="J23" s="3" t="inlineStr">
        <is>
          <t>etcd cluster 99th percentile commit durations are too high.</t>
        </is>
      </c>
      <c r="K23" s="3" t="inlineStr">
        <is>
          <t>etcd cluster "{{ $labels.job }}": 99th percentile commit durations {{ $value }}s on etcd instance {{ $labels.instance }}.</t>
        </is>
      </c>
      <c r="L23" s="5" t="inlineStr">
        <is>
          <t>histogram_quantile(0.99, rate(etcd_disk_backend_commit_duration_seconds_bucket{job=~".*etcd.*"}[5m]))
&gt; 0.25</t>
        </is>
      </c>
      <c r="M23" s="6" t="inlineStr">
        <is>
          <t>https://runbooks.prometheus-operator.dev/runbooks/etcd/etcdhighcommitdurations</t>
        </is>
      </c>
      <c r="N23" s="3" t="inlineStr"/>
    </row>
    <row r="24">
      <c r="A24" s="2" t="n">
        <v>23</v>
      </c>
      <c r="B24" s="3" t="inlineStr">
        <is>
          <t>etcd</t>
        </is>
      </c>
      <c r="C24" s="3" t="inlineStr">
        <is>
          <t>etcd</t>
        </is>
      </c>
      <c r="D24" s="3" t="inlineStr">
        <is>
          <t>etcdDatabaseQuotaLowSpace</t>
        </is>
      </c>
      <c r="E24" s="4" t="inlineStr">
        <is>
          <t>critical</t>
        </is>
      </c>
      <c r="F24" s="3" t="inlineStr">
        <is>
          <t>etcd DB サイズのクォータ使用率</t>
        </is>
      </c>
      <c r="G24" s="3" t="inlineStr">
        <is>
          <t>DB 総サイズ / バックエンドクォータ が 95% を超過</t>
        </is>
      </c>
      <c r="H24" s="2" t="inlineStr">
        <is>
          <t>10m(10分)</t>
        </is>
      </c>
      <c r="I24" s="3" t="inlineStr"/>
      <c r="J24" s="3" t="inlineStr">
        <is>
          <t>etcd cluster database is running full.</t>
        </is>
      </c>
      <c r="K24" s="3" t="inlineStr">
        <is>
          <t>etcd cluster "{{ $labels.job }}": database size exceeds the defined quota on etcd instance {{ $labels.instance }}, please defrag or increase the quota as the writes to etcd will be disabled when it is full.</t>
        </is>
      </c>
      <c r="L24" s="5" t="inlineStr">
        <is>
          <t>(last_over_time(etcd_mvcc_db_total_size_in_bytes{job=~".*etcd.*"}[5m]) / last_over_time(etcd_server_quota_backend_bytes{job=~".*etcd.*"}[5m]))*100 &gt; 95</t>
        </is>
      </c>
      <c r="M24" s="6" t="inlineStr">
        <is>
          <t>https://runbooks.prometheus-operator.dev/runbooks/etcd/etcddatabasequotalowspace</t>
        </is>
      </c>
      <c r="N24" s="3" t="inlineStr"/>
    </row>
    <row r="25">
      <c r="A25" s="2" t="n">
        <v>24</v>
      </c>
      <c r="B25" s="3" t="inlineStr">
        <is>
          <t>etcd</t>
        </is>
      </c>
      <c r="C25" s="3" t="inlineStr">
        <is>
          <t>etcd</t>
        </is>
      </c>
      <c r="D25" s="3" t="inlineStr">
        <is>
          <t>etcdExcessiveDatabaseGrowth</t>
        </is>
      </c>
      <c r="E25" s="7" t="inlineStr">
        <is>
          <t>warning</t>
        </is>
      </c>
      <c r="F25" s="3" t="inlineStr">
        <is>
          <t>etcd DB サイズの増加傾向</t>
        </is>
      </c>
      <c r="G25" s="3" t="inlineStr">
        <is>
          <t>直近 4 時間の傾向から 4 時間後の DB サイズを線形予測し、クォータを超過する見込み</t>
        </is>
      </c>
      <c r="H25" s="2" t="inlineStr">
        <is>
          <t>10m(10分)</t>
        </is>
      </c>
      <c r="I25" s="3" t="inlineStr"/>
      <c r="J25" s="3" t="inlineStr">
        <is>
          <t>etcd cluster database growing very fast.</t>
        </is>
      </c>
      <c r="K25" s="3" t="inlineStr">
        <is>
          <t>etcd cluster "{{ $labels.job }}": Predicting running out of disk space in the next four hours, based on write observations within the past four hours on etcd instance {{ $labels.instance }}, please check as it might be disruptive.</t>
        </is>
      </c>
      <c r="L25" s="5" t="inlineStr">
        <is>
          <t>predict_linear(etcd_mvcc_db_total_size_in_bytes{job=~".*etcd.*"}[4h], 4*60*60) &gt; etcd_server_quota_backend_bytes{job=~".*etcd.*"}</t>
        </is>
      </c>
      <c r="M25" s="6" t="inlineStr">
        <is>
          <t>https://runbooks.prometheus-operator.dev/runbooks/etcd/etcdexcessivedatabasegrowth</t>
        </is>
      </c>
      <c r="N25" s="3" t="inlineStr"/>
    </row>
    <row r="26">
      <c r="A26" s="2" t="n">
        <v>25</v>
      </c>
      <c r="B26" s="3" t="inlineStr">
        <is>
          <t>etcd</t>
        </is>
      </c>
      <c r="C26" s="3" t="inlineStr">
        <is>
          <t>etcd</t>
        </is>
      </c>
      <c r="D26" s="3" t="inlineStr">
        <is>
          <t>etcdDatabaseHighFragmentationRatio</t>
        </is>
      </c>
      <c r="E26" s="7" t="inlineStr">
        <is>
          <t>warning</t>
        </is>
      </c>
      <c r="F26" s="3" t="inlineStr">
        <is>
          <t>etcd DB のフラグメンテーション</t>
        </is>
      </c>
      <c r="G26" s="3" t="inlineStr">
        <is>
          <t>使用中サイズ / 総サイズ が 0.5 未満、かつ使用中サイズが 100MiB(104857600 バイト)を超過</t>
        </is>
      </c>
      <c r="H26" s="2" t="inlineStr">
        <is>
          <t>10m(10分)</t>
        </is>
      </c>
      <c r="I26" s="3" t="inlineStr"/>
      <c r="J26" s="3" t="inlineStr">
        <is>
          <t>etcd database size in use is less than 50% of the actual allocated storage.</t>
        </is>
      </c>
      <c r="K26" s="3" t="inlineStr">
        <is>
          <t>etcd cluster "{{ $labels.job }}": database size in use on instance {{ $labels.instance }} is {{ $value | humanizePercentage }} of the actual allocated disk space, please run defragmentation (e.g. etcdctl defrag) to retrieve the unused fragmented disk space.</t>
        </is>
      </c>
      <c r="L26" s="5" t="inlineStr">
        <is>
          <t>(last_over_time(etcd_mvcc_db_total_size_in_use_in_bytes{job=~".*etcd.*"}[5m]) / last_over_time(etcd_mvcc_db_total_size_in_bytes{job=~".*etcd.*"}[5m])) &lt; 0.5 and etcd_mvcc_db_total_size_in_use_in_bytes{job=~".*etcd.*"} &gt; 104857600</t>
        </is>
      </c>
      <c r="M26" s="6" t="inlineStr">
        <is>
          <t>https://runbooks.prometheus-operator.dev/runbooks/etcd/etcddatabasehighfragmentationratio</t>
        </is>
      </c>
      <c r="N26" s="3" t="inlineStr">
        <is>
          <t>defrag の実施を検討する。</t>
        </is>
      </c>
    </row>
    <row r="27">
      <c r="A27" s="2" t="n">
        <v>26</v>
      </c>
      <c r="B27" s="3" t="inlineStr">
        <is>
          <t>general.rules</t>
        </is>
      </c>
      <c r="C27" s="3" t="inlineStr">
        <is>
          <t>監視基盤(汎用)</t>
        </is>
      </c>
      <c r="D27" s="3" t="inlineStr">
        <is>
          <t>TargetDown</t>
        </is>
      </c>
      <c r="E27" s="7" t="inlineStr">
        <is>
          <t>warning</t>
        </is>
      </c>
      <c r="F27" s="3" t="inlineStr">
        <is>
          <t>スクレイプ対象(ターゲット)の到達性</t>
        </is>
      </c>
      <c r="G27" s="3" t="inlineStr">
        <is>
          <t>job/namespace/service 単位で、到達不能(up == 0)なターゲットの割合が 10% を超過</t>
        </is>
      </c>
      <c r="H27" s="2" t="inlineStr">
        <is>
          <t>10m(10分)</t>
        </is>
      </c>
      <c r="I27" s="3" t="inlineStr"/>
      <c r="J27" s="3" t="inlineStr">
        <is>
          <t>One or more targets are unreachable.</t>
        </is>
      </c>
      <c r="K27" s="3" t="inlineStr">
        <is>
          <t>{{ printf "%.4g" $value }}% of the {{ $labels.job }}/{{ $labels.service }} targets in {{ $labels.namespace }} namespace are down.</t>
        </is>
      </c>
      <c r="L27" s="5" t="inlineStr">
        <is>
          <t>100 * (count(up == 0) BY (cluster, job, namespace, service) / count(up) BY (cluster, job, namespace, service)) &gt; 10</t>
        </is>
      </c>
      <c r="M27" s="6" t="inlineStr">
        <is>
          <t>https://runbooks.prometheus-operator.dev/runbooks/general/targetdown</t>
        </is>
      </c>
      <c r="N27" s="3" t="inlineStr"/>
    </row>
    <row r="28">
      <c r="A28" s="2" t="n">
        <v>27</v>
      </c>
      <c r="B28" s="3" t="inlineStr">
        <is>
          <t>general.rules</t>
        </is>
      </c>
      <c r="C28" s="3" t="inlineStr">
        <is>
          <t>監視基盤(汎用)</t>
        </is>
      </c>
      <c r="D28" s="3" t="inlineStr">
        <is>
          <t>Watchdog</t>
        </is>
      </c>
      <c r="E28" s="8" t="inlineStr">
        <is>
          <t>none</t>
        </is>
      </c>
      <c r="F28" s="3" t="inlineStr">
        <is>
          <t>監視パイプライン(Prometheus→Alertmanager)の生存確認</t>
        </is>
      </c>
      <c r="G28" s="3" t="inlineStr">
        <is>
          <t>常時発報(vector(1))。条件は常に真</t>
        </is>
      </c>
      <c r="H28" s="2" t="inlineStr">
        <is>
          <t>即時(for 未設定)</t>
        </is>
      </c>
      <c r="I28" s="3" t="inlineStr"/>
      <c r="J28" s="3" t="inlineStr">
        <is>
          <t>An alert that should always be firing to certify that Alertmanager is working properly.</t>
        </is>
      </c>
      <c r="K28" s="3" t="inlineStr">
        <is>
          <t>This is an alert meant to ensure that the entire alerting pipeline is functional.
This alert is always firing, therefore it should always be firing in Alertmanager
and always fire against a receiver. There are integrations with various notification
mechanisms that send a notification when this alert is not firing. For example the
"DeadMansSnitch" integration in PagerDuty.</t>
        </is>
      </c>
      <c r="L28" s="5" t="inlineStr">
        <is>
          <t>vector(1)</t>
        </is>
      </c>
      <c r="M28" s="6" t="inlineStr">
        <is>
          <t>https://runbooks.prometheus-operator.dev/runbooks/general/watchdog</t>
        </is>
      </c>
      <c r="N28" s="3" t="inlineStr">
        <is>
          <t>死活確認用アラート。Alertmanager では null receiver へルーティングし、通知しないのが標準構成。発報が止まった場合に監視基盤の異常と判断する(外部の Dead man's switch と組み合わせて使用)。for 未設定のため条件成立と同時に発報する。</t>
        </is>
      </c>
    </row>
    <row r="29">
      <c r="A29" s="2" t="n">
        <v>28</v>
      </c>
      <c r="B29" s="3" t="inlineStr">
        <is>
          <t>general.rules</t>
        </is>
      </c>
      <c r="C29" s="3" t="inlineStr">
        <is>
          <t>監視基盤(汎用)</t>
        </is>
      </c>
      <c r="D29" s="3" t="inlineStr">
        <is>
          <t>InfoInhibitor</t>
        </is>
      </c>
      <c r="E29" s="8" t="inlineStr">
        <is>
          <t>none</t>
        </is>
      </c>
      <c r="F29" s="3" t="inlineStr">
        <is>
          <t>info アラートの抑止(inhibit)制御</t>
        </is>
      </c>
      <c r="G29" s="3" t="inlineStr">
        <is>
          <t>同一 namespace で severity=info のアラートが firing、かつ warning/critical のアラートが firing していない</t>
        </is>
      </c>
      <c r="H29" s="2" t="inlineStr">
        <is>
          <t>即時(for 未設定)</t>
        </is>
      </c>
      <c r="I29" s="3" t="inlineStr"/>
      <c r="J29" s="3" t="inlineStr">
        <is>
          <t>Info-level alert inhibition.</t>
        </is>
      </c>
      <c r="K29" s="3" t="inlineStr">
        <is>
          <t>This is an alert that is used to inhibit info alerts.
By themselves, the info-level alerts are sometimes very noisy, but they are relevant when combined with
other alerts.
This alert fires whenever there's a severity="info" alert, and stops firing when another alert with a
severity of 'warning' or 'critical' starts firing on the same namespace.
This alert should be routed to a null receiver and configured to inhibit alerts with severity="info".</t>
        </is>
      </c>
      <c r="L29" s="5" t="inlineStr">
        <is>
          <t>group by (namespace) (ALERTS{severity = "info"} == 1) unless on (namespace) group by (namespace) (ALERTS{alertname != "InfoInhibitor", alertstate = "firing", severity =~ "warning|critical"} == 1)</t>
        </is>
      </c>
      <c r="M29" s="6" t="inlineStr">
        <is>
          <t>https://runbooks.prometheus-operator.dev/runbooks/general/infoinhibitor</t>
        </is>
      </c>
      <c r="N29" s="3" t="inlineStr">
        <is>
          <t>通知用ではなく inhibit_rules 用の補助アラート。Alertmanager では null receiver へルーティングし、本アラートが firing 中は同一 namespace の info アラートを抑止する構成が標準。for 未設定のため条件成立と同時に発報する。</t>
        </is>
      </c>
    </row>
    <row r="30">
      <c r="A30" s="2" t="n">
        <v>29</v>
      </c>
      <c r="B30" s="3" t="inlineStr">
        <is>
          <t>kube-apiserver-slos</t>
        </is>
      </c>
      <c r="C30" s="3" t="inlineStr">
        <is>
          <t>kube-apiserver(SLO)</t>
        </is>
      </c>
      <c r="D30" s="3" t="inlineStr">
        <is>
          <t>KubeAPIErrorBudgetBurn</t>
        </is>
      </c>
      <c r="E30" s="4" t="inlineStr">
        <is>
          <t>critical</t>
        </is>
      </c>
      <c r="F30" s="3" t="inlineStr">
        <is>
          <t>kube-apiserver の可用性 SLO(99%)に対するエラーバジェット消費速度(バーンレート)</t>
        </is>
      </c>
      <c r="G30" s="3" t="inlineStr">
        <is>
          <t>1 時間および 5 分のバーンレートが共に 14.4 倍(エラー率 14.4%)を超過</t>
        </is>
      </c>
      <c r="H30" s="2" t="inlineStr">
        <is>
          <t>2m(2分)</t>
        </is>
      </c>
      <c r="I30" s="3" t="inlineStr">
        <is>
          <t>long=1h,short=5m</t>
        </is>
      </c>
      <c r="J30" s="3" t="inlineStr">
        <is>
          <t>The Kube API server is burning too much error budget.</t>
        </is>
      </c>
      <c r="K30" s="3" t="inlineStr">
        <is>
          <t>The Kube API server is burning too much error budget on cluster {{ $labels.cluster }}.</t>
        </is>
      </c>
      <c r="L30" s="5" t="inlineStr">
        <is>
          <t>sum by (cluster) (apiserver_request:burnrate1h) &gt; (14.40 * 0.01000)
and on (cluster)
sum by (cluster) (apiserver_request:burnrate5m) &gt; (14.40 * 0.01000)</t>
        </is>
      </c>
      <c r="M30" s="6" t="inlineStr">
        <is>
          <t>https://runbooks.prometheus-operator.dev/runbooks/kubernetes/kubeapierrorbudgetburn</t>
        </is>
      </c>
      <c r="N30" s="3" t="inlineStr">
        <is>
          <t>マルチウィンドウ・マルチバーンレート方式の最短ウィンドウ(最も急激な消費)。同名アラートが複数段階(severity 別)で定義されている。</t>
        </is>
      </c>
    </row>
    <row r="31">
      <c r="A31" s="2" t="n">
        <v>30</v>
      </c>
      <c r="B31" s="3" t="inlineStr">
        <is>
          <t>kube-apiserver-slos</t>
        </is>
      </c>
      <c r="C31" s="3" t="inlineStr">
        <is>
          <t>kube-apiserver(SLO)</t>
        </is>
      </c>
      <c r="D31" s="3" t="inlineStr">
        <is>
          <t>KubeAPIErrorBudgetBurn</t>
        </is>
      </c>
      <c r="E31" s="4" t="inlineStr">
        <is>
          <t>critical</t>
        </is>
      </c>
      <c r="F31" s="3" t="inlineStr">
        <is>
          <t>kube-apiserver の可用性 SLO(99%)に対するエラーバジェット消費速度(バーンレート)</t>
        </is>
      </c>
      <c r="G31" s="3" t="inlineStr">
        <is>
          <t>6 時間および 30 分のバーンレートが共に 6 倍(エラー率 6%)を超過</t>
        </is>
      </c>
      <c r="H31" s="2" t="inlineStr">
        <is>
          <t>15m(15分)</t>
        </is>
      </c>
      <c r="I31" s="3" t="inlineStr">
        <is>
          <t>long=6h,short=30m</t>
        </is>
      </c>
      <c r="J31" s="3" t="inlineStr">
        <is>
          <t>The Kube API server is burning too much error budget.</t>
        </is>
      </c>
      <c r="K31" s="3" t="inlineStr">
        <is>
          <t>The Kube API server is burning too much error budget on cluster {{ $labels.cluster }}.</t>
        </is>
      </c>
      <c r="L31" s="5" t="inlineStr">
        <is>
          <t>sum by (cluster) (apiserver_request:burnrate6h) &gt; (6.00 * 0.01000)
and on (cluster)
sum by (cluster) (apiserver_request:burnrate30m) &gt; (6.00 * 0.01000)</t>
        </is>
      </c>
      <c r="M31" s="6" t="inlineStr">
        <is>
          <t>https://runbooks.prometheus-operator.dev/runbooks/kubernetes/kubeapierrorbudgetburn</t>
        </is>
      </c>
      <c r="N31" s="3" t="inlineStr">
        <is>
          <t>同名アラートが複数段階(severity 別)で定義されている。</t>
        </is>
      </c>
    </row>
    <row r="32">
      <c r="A32" s="2" t="n">
        <v>31</v>
      </c>
      <c r="B32" s="3" t="inlineStr">
        <is>
          <t>kube-apiserver-slos</t>
        </is>
      </c>
      <c r="C32" s="3" t="inlineStr">
        <is>
          <t>kube-apiserver(SLO)</t>
        </is>
      </c>
      <c r="D32" s="3" t="inlineStr">
        <is>
          <t>KubeAPIErrorBudgetBurn</t>
        </is>
      </c>
      <c r="E32" s="7" t="inlineStr">
        <is>
          <t>warning</t>
        </is>
      </c>
      <c r="F32" s="3" t="inlineStr">
        <is>
          <t>kube-apiserver の可用性 SLO(99%)に対するエラーバジェット消費速度(バーンレート)</t>
        </is>
      </c>
      <c r="G32" s="3" t="inlineStr">
        <is>
          <t>1 日および 2 時間のバーンレートが共に 3 倍(エラー率 3%)を超過</t>
        </is>
      </c>
      <c r="H32" s="2" t="inlineStr">
        <is>
          <t>1h(1時間)</t>
        </is>
      </c>
      <c r="I32" s="3" t="inlineStr">
        <is>
          <t>long=1d,short=2h</t>
        </is>
      </c>
      <c r="J32" s="3" t="inlineStr">
        <is>
          <t>The Kube API server is burning too much error budget.</t>
        </is>
      </c>
      <c r="K32" s="3" t="inlineStr">
        <is>
          <t>The Kube API server is burning too much error budget on cluster {{ $labels.cluster }}.</t>
        </is>
      </c>
      <c r="L32" s="5" t="inlineStr">
        <is>
          <t>sum by (cluster) (apiserver_request:burnrate1d) &gt; (3.00 * 0.01000)
and on (cluster)
sum by (cluster) (apiserver_request:burnrate2h) &gt; (3.00 * 0.01000)</t>
        </is>
      </c>
      <c r="M32" s="6" t="inlineStr">
        <is>
          <t>https://runbooks.prometheus-operator.dev/runbooks/kubernetes/kubeapierrorbudgetburn</t>
        </is>
      </c>
      <c r="N32" s="3" t="inlineStr">
        <is>
          <t>同名アラートが複数段階(severity 別)で定義されている。</t>
        </is>
      </c>
    </row>
    <row r="33">
      <c r="A33" s="2" t="n">
        <v>32</v>
      </c>
      <c r="B33" s="3" t="inlineStr">
        <is>
          <t>kube-apiserver-slos</t>
        </is>
      </c>
      <c r="C33" s="3" t="inlineStr">
        <is>
          <t>kube-apiserver(SLO)</t>
        </is>
      </c>
      <c r="D33" s="3" t="inlineStr">
        <is>
          <t>KubeAPIErrorBudgetBurn</t>
        </is>
      </c>
      <c r="E33" s="7" t="inlineStr">
        <is>
          <t>warning</t>
        </is>
      </c>
      <c r="F33" s="3" t="inlineStr">
        <is>
          <t>kube-apiserver の可用性 SLO(99%)に対するエラーバジェット消費速度(バーンレート)</t>
        </is>
      </c>
      <c r="G33" s="3" t="inlineStr">
        <is>
          <t>3 日および 6 時間のバーンレートが共に 1 倍(エラー率 1%)を超過</t>
        </is>
      </c>
      <c r="H33" s="2" t="inlineStr">
        <is>
          <t>3h(3時間)</t>
        </is>
      </c>
      <c r="I33" s="3" t="inlineStr">
        <is>
          <t>long=3d,short=6h</t>
        </is>
      </c>
      <c r="J33" s="3" t="inlineStr">
        <is>
          <t>The Kube API server is burning too much error budget.</t>
        </is>
      </c>
      <c r="K33" s="3" t="inlineStr">
        <is>
          <t>The Kube API server is burning too much error budget on cluster {{ $labels.cluster }}.</t>
        </is>
      </c>
      <c r="L33" s="5" t="inlineStr">
        <is>
          <t>sum by (cluster) (apiserver_request:burnrate3d) &gt; (1.00 * 0.01000)
and on (cluster)
sum by (cluster) (apiserver_request:burnrate6h) &gt; (1.00 * 0.01000)</t>
        </is>
      </c>
      <c r="M33" s="6" t="inlineStr">
        <is>
          <t>https://runbooks.prometheus-operator.dev/runbooks/kubernetes/kubeapierrorbudgetburn</t>
        </is>
      </c>
      <c r="N33" s="3" t="inlineStr">
        <is>
          <t>最長ウィンドウ(緩やかな消費)。同名アラートが複数段階(severity 別)で定義されている。</t>
        </is>
      </c>
    </row>
    <row r="34">
      <c r="A34" s="2" t="n">
        <v>33</v>
      </c>
      <c r="B34" s="3" t="inlineStr">
        <is>
          <t>kube-state-metrics</t>
        </is>
      </c>
      <c r="C34" s="3" t="inlineStr">
        <is>
          <t>kube-state-metrics</t>
        </is>
      </c>
      <c r="D34" s="3" t="inlineStr">
        <is>
          <t>KubeStateMetricsListErrors</t>
        </is>
      </c>
      <c r="E34" s="4" t="inlineStr">
        <is>
          <t>critical</t>
        </is>
      </c>
      <c r="F34" s="3" t="inlineStr">
        <is>
          <t>kube-state-metrics の list 操作エラー率</t>
        </is>
      </c>
      <c r="G34" s="3" t="inlineStr">
        <is>
          <t>直近 5 分間の list 操作エラー率が 1% を超過</t>
        </is>
      </c>
      <c r="H34" s="2" t="inlineStr">
        <is>
          <t>15m(15分)</t>
        </is>
      </c>
      <c r="I34" s="3" t="inlineStr"/>
      <c r="J34" s="3" t="inlineStr">
        <is>
          <t>kube-state-metrics is experiencing errors in list operations.</t>
        </is>
      </c>
      <c r="K34" s="3" t="inlineStr">
        <is>
          <t>kube-state-metrics is experiencing errors at an elevated rate in list operations. This is likely causing it to not be able to expose metrics about Kubernetes objects correctly or at all.</t>
        </is>
      </c>
      <c r="L34" s="5" t="inlineStr">
        <is>
          <t>(sum(rate(kube_state_metrics_list_total{job="kube-state-metrics",result="error"}[5m])) by (cluster)
  /
sum(rate(kube_state_metrics_list_total{job="kube-state-metrics"}[5m])) by (cluster))
&gt; 0.01</t>
        </is>
      </c>
      <c r="M34" s="6" t="inlineStr">
        <is>
          <t>https://runbooks.prometheus-operator.dev/runbooks/kube-state-metrics/kubestatemetricslisterrors</t>
        </is>
      </c>
      <c r="N34" s="3" t="inlineStr"/>
    </row>
    <row r="35">
      <c r="A35" s="2" t="n">
        <v>34</v>
      </c>
      <c r="B35" s="3" t="inlineStr">
        <is>
          <t>kube-state-metrics</t>
        </is>
      </c>
      <c r="C35" s="3" t="inlineStr">
        <is>
          <t>kube-state-metrics</t>
        </is>
      </c>
      <c r="D35" s="3" t="inlineStr">
        <is>
          <t>KubeStateMetricsWatchErrors</t>
        </is>
      </c>
      <c r="E35" s="4" t="inlineStr">
        <is>
          <t>critical</t>
        </is>
      </c>
      <c r="F35" s="3" t="inlineStr">
        <is>
          <t>kube-state-metrics の watch 操作エラー率</t>
        </is>
      </c>
      <c r="G35" s="3" t="inlineStr">
        <is>
          <t>直近 5 分間の watch 操作エラー率が 1% を超過</t>
        </is>
      </c>
      <c r="H35" s="2" t="inlineStr">
        <is>
          <t>15m(15分)</t>
        </is>
      </c>
      <c r="I35" s="3" t="inlineStr"/>
      <c r="J35" s="3" t="inlineStr">
        <is>
          <t>kube-state-metrics is experiencing errors in watch operations.</t>
        </is>
      </c>
      <c r="K35" s="3" t="inlineStr">
        <is>
          <t>kube-state-metrics is experiencing errors at an elevated rate in watch operations. This is likely causing it to not be able to expose metrics about Kubernetes objects correctly or at all.</t>
        </is>
      </c>
      <c r="L35" s="5" t="inlineStr">
        <is>
          <t>(sum(rate(kube_state_metrics_watch_total{job="kube-state-metrics",result="error"}[5m])) by (cluster)
  /
sum(rate(kube_state_metrics_watch_total{job="kube-state-metrics"}[5m])) by (cluster))
&gt; 0.01</t>
        </is>
      </c>
      <c r="M35" s="6" t="inlineStr">
        <is>
          <t>https://runbooks.prometheus-operator.dev/runbooks/kube-state-metrics/kubestatemetricswatcherrors</t>
        </is>
      </c>
      <c r="N35" s="3" t="inlineStr"/>
    </row>
    <row r="36">
      <c r="A36" s="2" t="n">
        <v>35</v>
      </c>
      <c r="B36" s="3" t="inlineStr">
        <is>
          <t>kube-state-metrics</t>
        </is>
      </c>
      <c r="C36" s="3" t="inlineStr">
        <is>
          <t>kube-state-metrics</t>
        </is>
      </c>
      <c r="D36" s="3" t="inlineStr">
        <is>
          <t>KubeStateMetricsShardingMismatch</t>
        </is>
      </c>
      <c r="E36" s="4" t="inlineStr">
        <is>
          <t>critical</t>
        </is>
      </c>
      <c r="F36" s="3" t="inlineStr">
        <is>
          <t>kube-state-metrics シャーディング設定の整合性</t>
        </is>
      </c>
      <c r="G36" s="3" t="inlineStr">
        <is>
          <t>シャード総数の分散(stdvar)が 0 でない(インスタンス間でシャード数設定が不一致)</t>
        </is>
      </c>
      <c r="H36" s="2" t="inlineStr">
        <is>
          <t>15m(15分)</t>
        </is>
      </c>
      <c r="I36" s="3" t="inlineStr"/>
      <c r="J36" s="3" t="inlineStr">
        <is>
          <t>kube-state-metrics sharding is misconfigured.</t>
        </is>
      </c>
      <c r="K36" s="3" t="inlineStr">
        <is>
          <t>kube-state-metrics pods are running with different --total-shards configuration, some Kubernetes objects may be exposed multiple times or not exposed at all.</t>
        </is>
      </c>
      <c r="L36" s="5" t="inlineStr">
        <is>
          <t>stdvar (kube_state_metrics_total_shards{job="kube-state-metrics"}) by (cluster) != 0</t>
        </is>
      </c>
      <c r="M36" s="6" t="inlineStr">
        <is>
          <t>https://runbooks.prometheus-operator.dev/runbooks/kube-state-metrics/kubestatemetricsshardingmismatch</t>
        </is>
      </c>
      <c r="N36" s="3" t="inlineStr"/>
    </row>
    <row r="37">
      <c r="A37" s="2" t="n">
        <v>36</v>
      </c>
      <c r="B37" s="3" t="inlineStr">
        <is>
          <t>kube-state-metrics</t>
        </is>
      </c>
      <c r="C37" s="3" t="inlineStr">
        <is>
          <t>kube-state-metrics</t>
        </is>
      </c>
      <c r="D37" s="3" t="inlineStr">
        <is>
          <t>KubeStateMetricsShardsMissing</t>
        </is>
      </c>
      <c r="E37" s="4" t="inlineStr">
        <is>
          <t>critical</t>
        </is>
      </c>
      <c r="F37" s="3" t="inlineStr">
        <is>
          <t>kube-state-metrics シャードの欠落</t>
        </is>
      </c>
      <c r="G37" s="3" t="inlineStr">
        <is>
          <t>期待されるシャード序数の集合と実際に稼働しているシャードの集合が一致しない</t>
        </is>
      </c>
      <c r="H37" s="2" t="inlineStr">
        <is>
          <t>15m(15分)</t>
        </is>
      </c>
      <c r="I37" s="3" t="inlineStr"/>
      <c r="J37" s="3" t="inlineStr">
        <is>
          <t>kube-state-metrics shards are missing.</t>
        </is>
      </c>
      <c r="K37" s="3" t="inlineStr">
        <is>
          <t>kube-state-metrics shards are missing, some Kubernetes objects are not being exposed.</t>
        </is>
      </c>
      <c r="L37" s="5" t="inlineStr">
        <is>
          <t>2^max(kube_state_metrics_total_shards{job="kube-state-metrics"}) by (cluster) - 1
  -
sum( 2 ^ max by (cluster, shard_ordinal) (kube_state_metrics_shard_ordinal{job="kube-state-metrics"}) ) by (cluster)
!= 0</t>
        </is>
      </c>
      <c r="M37" s="6" t="inlineStr">
        <is>
          <t>https://runbooks.prometheus-operator.dev/runbooks/kube-state-metrics/kubestatemetricsshardsmissing</t>
        </is>
      </c>
      <c r="N37" s="3" t="inlineStr"/>
    </row>
    <row r="38">
      <c r="A38" s="2" t="n">
        <v>37</v>
      </c>
      <c r="B38" s="3" t="inlineStr">
        <is>
          <t>kubernetes-apps</t>
        </is>
      </c>
      <c r="C38" s="3" t="inlineStr">
        <is>
          <t>ワークロード(Pod/Deployment/StatefulSet/DaemonSet/Job/HPA/PDB)</t>
        </is>
      </c>
      <c r="D38" s="3" t="inlineStr">
        <is>
          <t>KubePodCrashLooping</t>
        </is>
      </c>
      <c r="E38" s="7" t="inlineStr">
        <is>
          <t>warning</t>
        </is>
      </c>
      <c r="F38" s="3" t="inlineStr">
        <is>
          <t>Pod コンテナのクラッシュループ</t>
        </is>
      </c>
      <c r="G38" s="3" t="inlineStr">
        <is>
          <t>直近 5 分間でコンテナの waiting 理由が CrashLoopBackOff になっている</t>
        </is>
      </c>
      <c r="H38" s="2" t="inlineStr">
        <is>
          <t>15m(15分)</t>
        </is>
      </c>
      <c r="I38" s="3" t="inlineStr"/>
      <c r="J38" s="3" t="inlineStr">
        <is>
          <t>Pod is crash looping.</t>
        </is>
      </c>
      <c r="K38" s="3" t="inlineStr">
        <is>
          <t>Pod {{ $labels.namespace }}/{{ $labels.pod }} ({{ $labels.container }}) is in waiting state (reason: "CrashLoopBackOff") on cluster {{ $labels.cluster }}.</t>
        </is>
      </c>
      <c r="L38" s="5" t="inlineStr">
        <is>
          <t>max_over_time(kube_pod_container_status_waiting_reason{reason="CrashLoopBackOff", job="kube-state-metrics", namespace=~".*"}[5m]) &gt;= 1</t>
        </is>
      </c>
      <c r="M38" s="6" t="inlineStr">
        <is>
          <t>https://runbooks.prometheus-operator.dev/runbooks/kubernetes/kubepodcrashlooping</t>
        </is>
      </c>
      <c r="N38" s="3" t="inlineStr"/>
    </row>
    <row r="39">
      <c r="A39" s="2" t="n">
        <v>38</v>
      </c>
      <c r="B39" s="3" t="inlineStr">
        <is>
          <t>kubernetes-apps</t>
        </is>
      </c>
      <c r="C39" s="3" t="inlineStr">
        <is>
          <t>ワークロード(Pod/Deployment/StatefulSet/DaemonSet/Job/HPA/PDB)</t>
        </is>
      </c>
      <c r="D39" s="3" t="inlineStr">
        <is>
          <t>KubePodNotReady</t>
        </is>
      </c>
      <c r="E39" s="7" t="inlineStr">
        <is>
          <t>warning</t>
        </is>
      </c>
      <c r="F39" s="3" t="inlineStr">
        <is>
          <t>Pod の Ready 状態</t>
        </is>
      </c>
      <c r="G39" s="3" t="inlineStr">
        <is>
          <t>Pod が Pending/Unknown、または Running だが Ready でない状態(Job 管理下・SchedulingGated の Pod は除外)</t>
        </is>
      </c>
      <c r="H39" s="2" t="inlineStr">
        <is>
          <t>15m(15分)</t>
        </is>
      </c>
      <c r="I39" s="3" t="inlineStr"/>
      <c r="J39" s="3" t="inlineStr">
        <is>
          <t>Pod has been in a non-ready state for more than 15 minutes.</t>
        </is>
      </c>
      <c r="K39" s="3" t="inlineStr">
        <is>
          <t>Pod {{ $labels.namespace }}/{{ $labels.pod }} has been in a non-ready state for longer than 15 minutes on cluster {{ $labels.cluster }}.</t>
        </is>
      </c>
      <c r="L39" s="5" t="inlineStr">
        <is>
          <t>sum by (namespace, pod, job, cluster) (
  max by (namespace, pod, job, cluster) (
    kube_pod_status_phase{job="kube-state-metrics", namespace=~".*", phase=~"Pending|Unknown"}
    or
    (
      kube_pod_status_phase{job="kube-state-metrics", namespace=~".*", phase="Running"} == 1
      and on (namespace, pod, cluster)
      kube_pod_status_ready{job="kube-state-metrics", namespace=~".*", condition="true"} == 0
    )
  ) * on (namespace, pod, cluster) group_left() topk by (namespace, pod, cluster) (
    1, max by (namespace, pod, owner_kind, cluster) (kube_pod_owner{owner_kind!="Job"})
  )
) &gt; 0
unless on (namespace, pod, cluster)
kube_pod_status_reason{job="kube-state-metrics", namespace=~".*", reason="SchedulingGated"} == 1</t>
        </is>
      </c>
      <c r="M39" s="6" t="inlineStr">
        <is>
          <t>https://runbooks.prometheus-operator.dev/runbooks/kubernetes/kubepodnotready</t>
        </is>
      </c>
      <c r="N39" s="3" t="inlineStr"/>
    </row>
    <row r="40">
      <c r="A40" s="2" t="n">
        <v>39</v>
      </c>
      <c r="B40" s="3" t="inlineStr">
        <is>
          <t>kubernetes-apps</t>
        </is>
      </c>
      <c r="C40" s="3" t="inlineStr">
        <is>
          <t>ワークロード(Pod/Deployment/StatefulSet/DaemonSet/Job/HPA/PDB)</t>
        </is>
      </c>
      <c r="D40" s="3" t="inlineStr">
        <is>
          <t>KubeDeploymentGenerationMismatch</t>
        </is>
      </c>
      <c r="E40" s="7" t="inlineStr">
        <is>
          <t>warning</t>
        </is>
      </c>
      <c r="F40" s="3" t="inlineStr">
        <is>
          <t>Deployment の世代(generation)整合性</t>
        </is>
      </c>
      <c r="G40" s="3" t="inlineStr">
        <is>
          <t>observed_generation != metadata_generation(コントローラが最新の spec を反映できていない)</t>
        </is>
      </c>
      <c r="H40" s="2" t="inlineStr">
        <is>
          <t>15m(15分)</t>
        </is>
      </c>
      <c r="I40" s="3" t="inlineStr"/>
      <c r="J40" s="3" t="inlineStr">
        <is>
          <t>Deployment generation mismatch due to possible roll-back</t>
        </is>
      </c>
      <c r="K40" s="3" t="inlineStr">
        <is>
          <t>Deployment generation for {{ $labels.namespace }}/{{ $labels.deployment }} does not match, this indicates that the Deployment has failed but has not been rolled back on cluster {{ $labels.cluster }}.</t>
        </is>
      </c>
      <c r="L40" s="5" t="inlineStr">
        <is>
          <t>kube_deployment_status_observed_generation{job="kube-state-metrics", namespace=~".*"}
  !=
kube_deployment_metadata_generation{job="kube-state-metrics", namespace=~".*"}</t>
        </is>
      </c>
      <c r="M40" s="6" t="inlineStr">
        <is>
          <t>https://runbooks.prometheus-operator.dev/runbooks/kubernetes/kubedeploymentgenerationmismatch</t>
        </is>
      </c>
      <c r="N40" s="3" t="inlineStr"/>
    </row>
    <row r="41">
      <c r="A41" s="2" t="n">
        <v>40</v>
      </c>
      <c r="B41" s="3" t="inlineStr">
        <is>
          <t>kubernetes-apps</t>
        </is>
      </c>
      <c r="C41" s="3" t="inlineStr">
        <is>
          <t>ワークロード(Pod/Deployment/StatefulSet/DaemonSet/Job/HPA/PDB)</t>
        </is>
      </c>
      <c r="D41" s="3" t="inlineStr">
        <is>
          <t>KubeDeploymentReplicasMismatch</t>
        </is>
      </c>
      <c r="E41" s="7" t="inlineStr">
        <is>
          <t>warning</t>
        </is>
      </c>
      <c r="F41" s="3" t="inlineStr">
        <is>
          <t>Deployment のレプリカ数</t>
        </is>
      </c>
      <c r="G41" s="3" t="inlineStr">
        <is>
          <t>spec.replicas &gt; available レプリカ数、かつ直近 10 分間で updated レプリカ数に変化がない</t>
        </is>
      </c>
      <c r="H41" s="2" t="inlineStr">
        <is>
          <t>15m(15分)</t>
        </is>
      </c>
      <c r="I41" s="3" t="inlineStr"/>
      <c r="J41" s="3" t="inlineStr">
        <is>
          <t>Deployment has not matched the expected number of replicas.</t>
        </is>
      </c>
      <c r="K41" s="3" t="inlineStr">
        <is>
          <t>Deployment {{ $labels.namespace }}/{{ $labels.deployment }} has not matched the expected number of replicas for longer than 15 minutes on cluster {{ $labels.cluster }}.</t>
        </is>
      </c>
      <c r="L41" s="5" t="inlineStr">
        <is>
          <t>(
  kube_deployment_spec_replicas{job="kube-state-metrics", namespace=~".*"}
    &gt;
  kube_deployment_status_replicas_available{job="kube-state-metrics", namespace=~".*"}
) and (
  changes(kube_deployment_status_replicas_updated{job="kube-state-metrics", namespace=~".*"}[10m])
    ==
  0
)</t>
        </is>
      </c>
      <c r="M41" s="6" t="inlineStr">
        <is>
          <t>https://runbooks.prometheus-operator.dev/runbooks/kubernetes/kubedeploymentreplicasmismatch</t>
        </is>
      </c>
      <c r="N41" s="3" t="inlineStr"/>
    </row>
    <row r="42">
      <c r="A42" s="2" t="n">
        <v>41</v>
      </c>
      <c r="B42" s="3" t="inlineStr">
        <is>
          <t>kubernetes-apps</t>
        </is>
      </c>
      <c r="C42" s="3" t="inlineStr">
        <is>
          <t>ワークロード(Pod/Deployment/StatefulSet/DaemonSet/Job/HPA/PDB)</t>
        </is>
      </c>
      <c r="D42" s="3" t="inlineStr">
        <is>
          <t>KubeDeploymentRolloutStuck</t>
        </is>
      </c>
      <c r="E42" s="7" t="inlineStr">
        <is>
          <t>warning</t>
        </is>
      </c>
      <c r="F42" s="3" t="inlineStr">
        <is>
          <t>Deployment のロールアウト進行</t>
        </is>
      </c>
      <c r="G42" s="3" t="inlineStr">
        <is>
          <t>Progressing 条件が false(ロールアウトが進行していない)</t>
        </is>
      </c>
      <c r="H42" s="2" t="inlineStr">
        <is>
          <t>15m(15分)</t>
        </is>
      </c>
      <c r="I42" s="3" t="inlineStr"/>
      <c r="J42" s="3" t="inlineStr">
        <is>
          <t>Deployment rollout is not progressing.</t>
        </is>
      </c>
      <c r="K42" s="3" t="inlineStr">
        <is>
          <t>Rollout of deployment {{ $labels.namespace }}/{{ $labels.deployment }} is not progressing for longer than 15 minutes on cluster {{ $labels.cluster }}.</t>
        </is>
      </c>
      <c r="L42" s="5" t="inlineStr">
        <is>
          <t>kube_deployment_status_condition{condition="Progressing", status="false",job="kube-state-metrics", namespace=~".*"}
!= 0</t>
        </is>
      </c>
      <c r="M42" s="6" t="inlineStr">
        <is>
          <t>https://runbooks.prometheus-operator.dev/runbooks/kubernetes/kubedeploymentrolloutstuck</t>
        </is>
      </c>
      <c r="N42" s="3" t="inlineStr"/>
    </row>
    <row r="43">
      <c r="A43" s="2" t="n">
        <v>42</v>
      </c>
      <c r="B43" s="3" t="inlineStr">
        <is>
          <t>kubernetes-apps</t>
        </is>
      </c>
      <c r="C43" s="3" t="inlineStr">
        <is>
          <t>ワークロード(Pod/Deployment/StatefulSet/DaemonSet/Job/HPA/PDB)</t>
        </is>
      </c>
      <c r="D43" s="3" t="inlineStr">
        <is>
          <t>KubeStatefulSetReplicasMismatch</t>
        </is>
      </c>
      <c r="E43" s="7" t="inlineStr">
        <is>
          <t>warning</t>
        </is>
      </c>
      <c r="F43" s="3" t="inlineStr">
        <is>
          <t>StatefulSet のレプリカ数</t>
        </is>
      </c>
      <c r="G43" s="3" t="inlineStr">
        <is>
          <t>ready レプリカ数 != spec.replicas、かつ直近 10 分間で updated レプリカ数に変化がない</t>
        </is>
      </c>
      <c r="H43" s="2" t="inlineStr">
        <is>
          <t>15m(15分)</t>
        </is>
      </c>
      <c r="I43" s="3" t="inlineStr"/>
      <c r="J43" s="3" t="inlineStr">
        <is>
          <t>StatefulSet has not matched the expected number of replicas.</t>
        </is>
      </c>
      <c r="K43" s="3" t="inlineStr">
        <is>
          <t>StatefulSet {{ $labels.namespace }}/{{ $labels.statefulset }} has not matched the expected number of replicas for longer than 15 minutes on cluster {{ $labels.cluster }}.</t>
        </is>
      </c>
      <c r="L43" s="5" t="inlineStr">
        <is>
          <t>(
  kube_statefulset_status_replicas_ready{job="kube-state-metrics", namespace=~".*"}
    !=
  kube_statefulset_replicas{job="kube-state-metrics", namespace=~".*"}
) and (
  changes(kube_statefulset_status_replicas_updated{job="kube-state-metrics", namespace=~".*"}[10m])
    ==
  0
)</t>
        </is>
      </c>
      <c r="M43" s="6" t="inlineStr">
        <is>
          <t>https://runbooks.prometheus-operator.dev/runbooks/kubernetes/kubestatefulsetreplicasmismatch</t>
        </is>
      </c>
      <c r="N43" s="3" t="inlineStr"/>
    </row>
    <row r="44">
      <c r="A44" s="2" t="n">
        <v>43</v>
      </c>
      <c r="B44" s="3" t="inlineStr">
        <is>
          <t>kubernetes-apps</t>
        </is>
      </c>
      <c r="C44" s="3" t="inlineStr">
        <is>
          <t>ワークロード(Pod/Deployment/StatefulSet/DaemonSet/Job/HPA/PDB)</t>
        </is>
      </c>
      <c r="D44" s="3" t="inlineStr">
        <is>
          <t>KubeStatefulSetGenerationMismatch</t>
        </is>
      </c>
      <c r="E44" s="7" t="inlineStr">
        <is>
          <t>warning</t>
        </is>
      </c>
      <c r="F44" s="3" t="inlineStr">
        <is>
          <t>StatefulSet の世代(generation)整合性</t>
        </is>
      </c>
      <c r="G44" s="3" t="inlineStr">
        <is>
          <t>observed_generation != metadata_generation(コントローラが最新の spec を反映できていない)</t>
        </is>
      </c>
      <c r="H44" s="2" t="inlineStr">
        <is>
          <t>15m(15分)</t>
        </is>
      </c>
      <c r="I44" s="3" t="inlineStr"/>
      <c r="J44" s="3" t="inlineStr">
        <is>
          <t>StatefulSet generation mismatch due to possible roll-back</t>
        </is>
      </c>
      <c r="K44" s="3" t="inlineStr">
        <is>
          <t>StatefulSet generation for {{ $labels.namespace }}/{{ $labels.statefulset }} does not match, this indicates that the StatefulSet has failed but has not been rolled back on cluster {{ $labels.cluster }}.</t>
        </is>
      </c>
      <c r="L44" s="5" t="inlineStr">
        <is>
          <t>kube_statefulset_status_observed_generation{job="kube-state-metrics", namespace=~".*"}
  !=
kube_statefulset_metadata_generation{job="kube-state-metrics", namespace=~".*"}</t>
        </is>
      </c>
      <c r="M44" s="6" t="inlineStr">
        <is>
          <t>https://runbooks.prometheus-operator.dev/runbooks/kubernetes/kubestatefulsetgenerationmismatch</t>
        </is>
      </c>
      <c r="N44" s="3" t="inlineStr"/>
    </row>
    <row r="45">
      <c r="A45" s="2" t="n">
        <v>44</v>
      </c>
      <c r="B45" s="3" t="inlineStr">
        <is>
          <t>kubernetes-apps</t>
        </is>
      </c>
      <c r="C45" s="3" t="inlineStr">
        <is>
          <t>ワークロード(Pod/Deployment/StatefulSet/DaemonSet/Job/HPA/PDB)</t>
        </is>
      </c>
      <c r="D45" s="3" t="inlineStr">
        <is>
          <t>KubeStatefulSetUpdateNotRolledOut</t>
        </is>
      </c>
      <c r="E45" s="7" t="inlineStr">
        <is>
          <t>warning</t>
        </is>
      </c>
      <c r="F45" s="3" t="inlineStr">
        <is>
          <t>StatefulSet の更新ロールアウト</t>
        </is>
      </c>
      <c r="G45" s="3" t="inlineStr">
        <is>
          <t>current revision と update revision が異なり、replicas != updated レプリカ数、かつ直近 5 分間で updated 数に変化がない</t>
        </is>
      </c>
      <c r="H45" s="2" t="inlineStr">
        <is>
          <t>15m(15分)</t>
        </is>
      </c>
      <c r="I45" s="3" t="inlineStr"/>
      <c r="J45" s="3" t="inlineStr">
        <is>
          <t>StatefulSet update has not been rolled out.</t>
        </is>
      </c>
      <c r="K45" s="3" t="inlineStr">
        <is>
          <t>StatefulSet {{ $labels.namespace }}/{{ $labels.statefulset }} update has not been rolled out on cluster {{ $labels.cluster }}.</t>
        </is>
      </c>
      <c r="L45" s="5" t="inlineStr">
        <is>
          <t>(
  max by (namespace, statefulset, job, cluster) (
    kube_statefulset_status_current_revision{job="kube-state-metrics", namespace=~".*"}
      unless
    kube_statefulset_status_update_revision{job="kube-state-metrics", namespace=~".*"}
  )
    * on (namespace, statefulset, job, cluster)
  (
    kube_statefulset_replicas{job="kube-state-metrics", namespace=~".*"}
      !=
    kube_statefulset_status_replicas_updated{job="kube-state-metrics", namespace=~".*"}
  )
)  and on (namespace, statefulset, job, cluster) (
  changes(kube_statefulset_status_replicas_updated{job="kube-state-metrics", namespace=~".*"}[5m])
    ==
  0
)</t>
        </is>
      </c>
      <c r="M45" s="6" t="inlineStr">
        <is>
          <t>https://runbooks.prometheus-operator.dev/runbooks/kubernetes/kubestatefulsetupdatenotrolledout</t>
        </is>
      </c>
      <c r="N45" s="3" t="inlineStr"/>
    </row>
    <row r="46">
      <c r="A46" s="2" t="n">
        <v>45</v>
      </c>
      <c r="B46" s="3" t="inlineStr">
        <is>
          <t>kubernetes-apps</t>
        </is>
      </c>
      <c r="C46" s="3" t="inlineStr">
        <is>
          <t>ワークロード(Pod/Deployment/StatefulSet/DaemonSet/Job/HPA/PDB)</t>
        </is>
      </c>
      <c r="D46" s="3" t="inlineStr">
        <is>
          <t>KubeDaemonSetRolloutStuck</t>
        </is>
      </c>
      <c r="E46" s="7" t="inlineStr">
        <is>
          <t>warning</t>
        </is>
      </c>
      <c r="F46" s="3" t="inlineStr">
        <is>
          <t>DaemonSet のロールアウト進行</t>
        </is>
      </c>
      <c r="G46" s="3" t="inlineStr">
        <is>
          <t>current/updated/available スケジュール数が desired と不一致、または misscheduled が 0 でない状態が、直近 5 分間 updated 数の変化なしで継続</t>
        </is>
      </c>
      <c r="H46" s="2" t="inlineStr">
        <is>
          <t>15m(15分)</t>
        </is>
      </c>
      <c r="I46" s="3" t="inlineStr"/>
      <c r="J46" s="3" t="inlineStr">
        <is>
          <t>DaemonSet rollout is stuck.</t>
        </is>
      </c>
      <c r="K46" s="3" t="inlineStr">
        <is>
          <t>DaemonSet {{ $labels.namespace }}/{{ $labels.daemonset }} has not finished or progressed for at least 15m on cluster {{ $labels.cluster }}.</t>
        </is>
      </c>
      <c r="L46" s="5" t="inlineStr">
        <is>
          <t>(
  (
    kube_daemonset_status_current_number_scheduled{job="kube-state-metrics", namespace=~".*"}
      !=
    kube_daemonset_status_desired_number_scheduled{job="kube-state-metrics", namespace=~".*"}
  ) or (
    kube_daemonset_status_number_misscheduled{job="kube-state-metrics", namespace=~".*"}
      !=
    0
  ) or (
    kube_daemonset_status_updated_number_scheduled{job="kube-state-metrics", namespace=~".*"}
      !=
    kube_daemonset_status_desired_number_scheduled{job="kube-state-metrics", namespace=~".*"}
  ) or (
    kube_daemonset_status_number_available{job="kube-state-metrics", namespace=~".*"}
      !=
    kube_daemonset_status_desired_number_scheduled{job="kube-state-metrics", namespace=~".*"}
  )
) and (
  changes(kube_daemonset_status_updated_number_scheduled{job="kube-state-metrics", namespace=~".*"}[5m])
    ==
  0
)</t>
        </is>
      </c>
      <c r="M46" s="6" t="inlineStr">
        <is>
          <t>https://runbooks.prometheus-operator.dev/runbooks/kubernetes/kubedaemonsetrolloutstuck</t>
        </is>
      </c>
      <c r="N46" s="3" t="inlineStr"/>
    </row>
    <row r="47">
      <c r="A47" s="2" t="n">
        <v>46</v>
      </c>
      <c r="B47" s="3" t="inlineStr">
        <is>
          <t>kubernetes-apps</t>
        </is>
      </c>
      <c r="C47" s="3" t="inlineStr">
        <is>
          <t>ワークロード(Pod/Deployment/StatefulSet/DaemonSet/Job/HPA/PDB)</t>
        </is>
      </c>
      <c r="D47" s="3" t="inlineStr">
        <is>
          <t>KubeContainerWaiting</t>
        </is>
      </c>
      <c r="E47" s="7" t="inlineStr">
        <is>
          <t>warning</t>
        </is>
      </c>
      <c r="F47" s="3" t="inlineStr">
        <is>
          <t>Pod コンテナの起動待ち状態</t>
        </is>
      </c>
      <c r="G47" s="3" t="inlineStr">
        <is>
          <t>コンテナが waiting 状態(CrashLoopBackOff 以外の理由: ImagePullBackOff, ContainerCreating 等)</t>
        </is>
      </c>
      <c r="H47" s="2" t="inlineStr">
        <is>
          <t>1h(1時間)</t>
        </is>
      </c>
      <c r="I47" s="3" t="inlineStr"/>
      <c r="J47" s="3" t="inlineStr">
        <is>
          <t>Pod container waiting longer than 1 hour</t>
        </is>
      </c>
      <c r="K47" s="3" t="inlineStr">
        <is>
          <t>pod/{{ $labels.pod }} in namespace {{ $labels.namespace }} on container {{ $labels.container}} has been in waiting state for longer than 1 hour. (reason: "{{ $labels.reason }}") on cluster {{ $labels.cluster }}.</t>
        </is>
      </c>
      <c r="L47" s="5" t="inlineStr">
        <is>
          <t>kube_pod_container_status_waiting_reason{reason!="CrashLoopBackOff", job="kube-state-metrics", namespace=~".*"} &gt; 0</t>
        </is>
      </c>
      <c r="M47" s="6" t="inlineStr">
        <is>
          <t>https://runbooks.prometheus-operator.dev/runbooks/kubernetes/kubecontainerwaiting</t>
        </is>
      </c>
      <c r="N47" s="3" t="inlineStr"/>
    </row>
    <row r="48">
      <c r="A48" s="2" t="n">
        <v>47</v>
      </c>
      <c r="B48" s="3" t="inlineStr">
        <is>
          <t>kubernetes-apps</t>
        </is>
      </c>
      <c r="C48" s="3" t="inlineStr">
        <is>
          <t>ワークロード(Pod/Deployment/StatefulSet/DaemonSet/Job/HPA/PDB)</t>
        </is>
      </c>
      <c r="D48" s="3" t="inlineStr">
        <is>
          <t>KubeDaemonSetNotScheduled</t>
        </is>
      </c>
      <c r="E48" s="7" t="inlineStr">
        <is>
          <t>warning</t>
        </is>
      </c>
      <c r="F48" s="3" t="inlineStr">
        <is>
          <t>DaemonSet Pod の未スケジュール</t>
        </is>
      </c>
      <c r="G48" s="3" t="inlineStr">
        <is>
          <t>desired スケジュール数 - current スケジュール数 &gt; 0(配置されるべきノードに Pod が無い)</t>
        </is>
      </c>
      <c r="H48" s="2" t="inlineStr">
        <is>
          <t>10m(10分)</t>
        </is>
      </c>
      <c r="I48" s="3" t="inlineStr"/>
      <c r="J48" s="3" t="inlineStr">
        <is>
          <t>DaemonSet pods are not scheduled.</t>
        </is>
      </c>
      <c r="K48" s="3" t="inlineStr">
        <is>
          <t>{{ $value }} Pods of DaemonSet {{ $labels.namespace }}/{{ $labels.daemonset }} are not scheduled on cluster {{ $labels.cluster }}.</t>
        </is>
      </c>
      <c r="L48" s="5" t="inlineStr">
        <is>
          <t>kube_daemonset_status_desired_number_scheduled{job="kube-state-metrics", namespace=~".*"}
  -
kube_daemonset_status_current_number_scheduled{job="kube-state-metrics", namespace=~".*"} &gt; 0</t>
        </is>
      </c>
      <c r="M48" s="6" t="inlineStr">
        <is>
          <t>https://runbooks.prometheus-operator.dev/runbooks/kubernetes/kubedaemonsetnotscheduled</t>
        </is>
      </c>
      <c r="N48" s="3" t="inlineStr"/>
    </row>
    <row r="49">
      <c r="A49" s="2" t="n">
        <v>48</v>
      </c>
      <c r="B49" s="3" t="inlineStr">
        <is>
          <t>kubernetes-apps</t>
        </is>
      </c>
      <c r="C49" s="3" t="inlineStr">
        <is>
          <t>ワークロード(Pod/Deployment/StatefulSet/DaemonSet/Job/HPA/PDB)</t>
        </is>
      </c>
      <c r="D49" s="3" t="inlineStr">
        <is>
          <t>KubeDaemonSetMisScheduled</t>
        </is>
      </c>
      <c r="E49" s="7" t="inlineStr">
        <is>
          <t>warning</t>
        </is>
      </c>
      <c r="F49" s="3" t="inlineStr">
        <is>
          <t>DaemonSet Pod の誤スケジュール</t>
        </is>
      </c>
      <c r="G49" s="3" t="inlineStr">
        <is>
          <t>misscheduled 数 &gt; 0(配置されるべきでないノードで Pod が動作)</t>
        </is>
      </c>
      <c r="H49" s="2" t="inlineStr">
        <is>
          <t>15m(15分)</t>
        </is>
      </c>
      <c r="I49" s="3" t="inlineStr"/>
      <c r="J49" s="3" t="inlineStr">
        <is>
          <t>DaemonSet pods are misscheduled.</t>
        </is>
      </c>
      <c r="K49" s="3" t="inlineStr">
        <is>
          <t>{{ $value }} Pods of DaemonSet {{ $labels.namespace }}/{{ $labels.daemonset }} are running where they are not supposed to run on cluster {{ $labels.cluster }}.</t>
        </is>
      </c>
      <c r="L49" s="5" t="inlineStr">
        <is>
          <t>kube_daemonset_status_number_misscheduled{job="kube-state-metrics", namespace=~".*"} &gt; 0</t>
        </is>
      </c>
      <c r="M49" s="6" t="inlineStr">
        <is>
          <t>https://runbooks.prometheus-operator.dev/runbooks/kubernetes/kubedaemonsetmisscheduled</t>
        </is>
      </c>
      <c r="N49" s="3" t="inlineStr"/>
    </row>
    <row r="50">
      <c r="A50" s="2" t="n">
        <v>49</v>
      </c>
      <c r="B50" s="3" t="inlineStr">
        <is>
          <t>kubernetes-apps</t>
        </is>
      </c>
      <c r="C50" s="3" t="inlineStr">
        <is>
          <t>ワークロード(Pod/Deployment/StatefulSet/DaemonSet/Job/HPA/PDB)</t>
        </is>
      </c>
      <c r="D50" s="3" t="inlineStr">
        <is>
          <t>KubeJobNotCompleted</t>
        </is>
      </c>
      <c r="E50" s="7" t="inlineStr">
        <is>
          <t>warning</t>
        </is>
      </c>
      <c r="F50" s="3" t="inlineStr">
        <is>
          <t>Job の実行時間超過</t>
        </is>
      </c>
      <c r="G50" s="3" t="inlineStr">
        <is>
          <t>active な Job の開始からの経過時間が 43200 秒(12 時間)を超過</t>
        </is>
      </c>
      <c r="H50" s="2" t="inlineStr">
        <is>
          <t>即時(for 未設定)</t>
        </is>
      </c>
      <c r="I50" s="3" t="inlineStr"/>
      <c r="J50" s="3" t="inlineStr">
        <is>
          <t>Job did not complete in time</t>
        </is>
      </c>
      <c r="K50" s="3" t="inlineStr">
        <is>
          <t>Job {{ $labels.namespace }}/{{ $labels.job_name }} is taking more than {{ "43200" | humanizeDuration }} to complete on cluster {{ $labels.cluster }}.</t>
        </is>
      </c>
      <c r="L50" s="5" t="inlineStr">
        <is>
          <t>time() - max by (namespace, job_name, cluster) (kube_job_status_start_time{job="kube-state-metrics", namespace=~".*"}
  and
kube_job_status_active{job="kube-state-metrics", namespace=~".*"} &gt; 0) &gt; 43200</t>
        </is>
      </c>
      <c r="M50" s="6" t="inlineStr">
        <is>
          <t>https://runbooks.prometheus-operator.dev/runbooks/kubernetes/kubejobnotcompleted</t>
        </is>
      </c>
      <c r="N50" s="3" t="inlineStr">
        <is>
          <t>for 未設定のため条件成立と同時に発報する。</t>
        </is>
      </c>
    </row>
    <row r="51">
      <c r="A51" s="2" t="n">
        <v>50</v>
      </c>
      <c r="B51" s="3" t="inlineStr">
        <is>
          <t>kubernetes-apps</t>
        </is>
      </c>
      <c r="C51" s="3" t="inlineStr">
        <is>
          <t>ワークロード(Pod/Deployment/StatefulSet/DaemonSet/Job/HPA/PDB)</t>
        </is>
      </c>
      <c r="D51" s="3" t="inlineStr">
        <is>
          <t>KubeJobFailed</t>
        </is>
      </c>
      <c r="E51" s="7" t="inlineStr">
        <is>
          <t>warning</t>
        </is>
      </c>
      <c r="F51" s="3" t="inlineStr">
        <is>
          <t>Job の失敗</t>
        </is>
      </c>
      <c r="G51" s="3" t="inlineStr">
        <is>
          <t>kube_job_failed &gt; 0(Failed 状態の Job が存在)</t>
        </is>
      </c>
      <c r="H51" s="2" t="inlineStr">
        <is>
          <t>15m(15分)</t>
        </is>
      </c>
      <c r="I51" s="3" t="inlineStr"/>
      <c r="J51" s="3" t="inlineStr">
        <is>
          <t>Job failed to complete.</t>
        </is>
      </c>
      <c r="K51" s="3" t="inlineStr">
        <is>
          <t>Job {{ $labels.namespace }}/{{ $labels.job_name }} failed to complete. Removing failed job after investigation should clear this alert on cluster {{ $labels.cluster }}.</t>
        </is>
      </c>
      <c r="L51" s="5" t="inlineStr">
        <is>
          <t>kube_job_failed{job="kube-state-metrics", namespace=~".*"}  &gt; 0</t>
        </is>
      </c>
      <c r="M51" s="6" t="inlineStr">
        <is>
          <t>https://runbooks.prometheus-operator.dev/runbooks/kubernetes/kubejobfailed</t>
        </is>
      </c>
      <c r="N51" s="3" t="inlineStr"/>
    </row>
    <row r="52">
      <c r="A52" s="2" t="n">
        <v>51</v>
      </c>
      <c r="B52" s="3" t="inlineStr">
        <is>
          <t>kubernetes-apps</t>
        </is>
      </c>
      <c r="C52" s="3" t="inlineStr">
        <is>
          <t>ワークロード(Pod/Deployment/StatefulSet/DaemonSet/Job/HPA/PDB)</t>
        </is>
      </c>
      <c r="D52" s="3" t="inlineStr">
        <is>
          <t>KubeHpaReplicasMismatch</t>
        </is>
      </c>
      <c r="E52" s="7" t="inlineStr">
        <is>
          <t>warning</t>
        </is>
      </c>
      <c r="F52" s="3" t="inlineStr">
        <is>
          <t>HPA の desired と current レプリカ数の乖離</t>
        </is>
      </c>
      <c r="G52" s="3" t="inlineStr">
        <is>
          <t>desired != current、current が min より大きく max より小さい、かつ直近 15 分間 current に変化がない</t>
        </is>
      </c>
      <c r="H52" s="2" t="inlineStr">
        <is>
          <t>15m(15分)</t>
        </is>
      </c>
      <c r="I52" s="3" t="inlineStr"/>
      <c r="J52" s="3" t="inlineStr">
        <is>
          <t>HPA has not matched desired number of replicas.</t>
        </is>
      </c>
      <c r="K52" s="3" t="inlineStr">
        <is>
          <t>HPA {{ $labels.namespace }}/{{ $labels.horizontalpodautoscaler  }} has not matched the desired number of replicas for longer than 15 minutes on cluster {{ $labels.cluster }}.</t>
        </is>
      </c>
      <c r="L52" s="5" t="inlineStr">
        <is>
          <t>(kube_horizontalpodautoscaler_status_desired_replicas{job="kube-state-metrics", namespace=~".*"}
  !=
kube_horizontalpodautoscaler_status_current_replicas{job="kube-state-metrics", namespace=~".*"})
  and
(kube_horizontalpodautoscaler_status_current_replicas{job="kube-state-metrics", namespace=~".*"}
  &gt;
kube_horizontalpodautoscaler_spec_min_replicas{job="kube-state-metrics", namespace=~".*"})
  and
(kube_horizontalpodautoscaler_status_current_replicas{job="kube-state-metrics", namespace=~".*"}
  &lt;
kube_horizontalpodautoscaler_spec_max_replicas{job="kube-state-metrics", namespace=~".*"})
  and
changes(kube_horizontalpodautoscaler_status_current_replicas{job="kube-state-metrics", namespace=~".*"}[15m]) == 0</t>
        </is>
      </c>
      <c r="M52" s="6" t="inlineStr">
        <is>
          <t>https://runbooks.prometheus-operator.dev/runbooks/kubernetes/kubehpareplicasmismatch</t>
        </is>
      </c>
      <c r="N52" s="3" t="inlineStr"/>
    </row>
    <row r="53">
      <c r="A53" s="2" t="n">
        <v>52</v>
      </c>
      <c r="B53" s="3" t="inlineStr">
        <is>
          <t>kubernetes-apps</t>
        </is>
      </c>
      <c r="C53" s="3" t="inlineStr">
        <is>
          <t>ワークロード(Pod/Deployment/StatefulSet/DaemonSet/Job/HPA/PDB)</t>
        </is>
      </c>
      <c r="D53" s="3" t="inlineStr">
        <is>
          <t>KubeHpaMaxedOut</t>
        </is>
      </c>
      <c r="E53" s="7" t="inlineStr">
        <is>
          <t>warning</t>
        </is>
      </c>
      <c r="F53" s="3" t="inlineStr">
        <is>
          <t>HPA の最大レプリカ数到達</t>
        </is>
      </c>
      <c r="G53" s="3" t="inlineStr">
        <is>
          <t>current レプリカ数 == max レプリカ数(min != max の HPA のみ)</t>
        </is>
      </c>
      <c r="H53" s="2" t="inlineStr">
        <is>
          <t>15m(15分)</t>
        </is>
      </c>
      <c r="I53" s="3" t="inlineStr"/>
      <c r="J53" s="3" t="inlineStr">
        <is>
          <t>HPA is running at max replicas</t>
        </is>
      </c>
      <c r="K53" s="3" t="inlineStr">
        <is>
          <t>HPA {{ $labels.namespace }}/{{ $labels.horizontalpodautoscaler  }} has been running at max replicas for longer than 15 minutes on cluster {{ $labels.cluster }}.</t>
        </is>
      </c>
      <c r="L53" s="5" t="inlineStr">
        <is>
          <t>(
  kube_horizontalpodautoscaler_status_current_replicas{job="kube-state-metrics", namespace=~".*"}
    ==
  kube_horizontalpodautoscaler_spec_max_replicas{job="kube-state-metrics", namespace=~".*"}
)
and on (namespace, horizontalpodautoscaler, cluster) (
  kube_horizontalpodautoscaler_spec_max_replicas{job="kube-state-metrics", namespace=~".*"}
    !=
  kube_horizontalpodautoscaler_spec_min_replicas{job="kube-state-metrics", namespace=~".*"}
)</t>
        </is>
      </c>
      <c r="M53" s="6" t="inlineStr">
        <is>
          <t>https://runbooks.prometheus-operator.dev/runbooks/kubernetes/kubehpamaxedout</t>
        </is>
      </c>
      <c r="N53" s="3" t="inlineStr"/>
    </row>
    <row r="54">
      <c r="A54" s="2" t="n">
        <v>53</v>
      </c>
      <c r="B54" s="3" t="inlineStr">
        <is>
          <t>kubernetes-apps</t>
        </is>
      </c>
      <c r="C54" s="3" t="inlineStr">
        <is>
          <t>ワークロード(Pod/Deployment/StatefulSet/DaemonSet/Job/HPA/PDB)</t>
        </is>
      </c>
      <c r="D54" s="3" t="inlineStr">
        <is>
          <t>KubePdbNotEnoughHealthyPods</t>
        </is>
      </c>
      <c r="E54" s="7" t="inlineStr">
        <is>
          <t>warning</t>
        </is>
      </c>
      <c r="F54" s="3" t="inlineStr">
        <is>
          <t>PodDisruptionBudget の健全 Pod 数</t>
        </is>
      </c>
      <c r="G54" s="3" t="inlineStr">
        <is>
          <t>desired_healthy - current_healthy &gt; 0(PDB が要求する健全 Pod 数を満たしていない)</t>
        </is>
      </c>
      <c r="H54" s="2" t="inlineStr">
        <is>
          <t>15m(15分)</t>
        </is>
      </c>
      <c r="I54" s="3" t="inlineStr"/>
      <c r="J54" s="3" t="inlineStr">
        <is>
          <t>PDB does not have enough healthy pods.</t>
        </is>
      </c>
      <c r="K54" s="3" t="inlineStr">
        <is>
          <t>PDB {{ $labels.cluster }}/{{ $labels.namespace }}/{{ $labels.poddisruptionbudget }} expects {{ $value }} more healthy pods. The desired number of healthy pods has not been met for at least 15m.</t>
        </is>
      </c>
      <c r="L54" s="5" t="inlineStr">
        <is>
          <t>(
  kube_poddisruptionbudget_status_desired_healthy{job="kube-state-metrics", namespace=~".*"}
  -
  kube_poddisruptionbudget_status_current_healthy{job="kube-state-metrics", namespace=~".*"}
)
&gt; 0</t>
        </is>
      </c>
      <c r="M54" s="6" t="inlineStr">
        <is>
          <t>https://runbooks.prometheus-operator.dev/runbooks/kubernetes/kubepdbnotenoughhealthypods</t>
        </is>
      </c>
      <c r="N54" s="3" t="inlineStr"/>
    </row>
    <row r="55">
      <c r="A55" s="2" t="n">
        <v>54</v>
      </c>
      <c r="B55" s="3" t="inlineStr">
        <is>
          <t>kubernetes-resources</t>
        </is>
      </c>
      <c r="C55" s="3" t="inlineStr">
        <is>
          <t>リソース(Requests/Quota/CPU スロットリング)</t>
        </is>
      </c>
      <c r="D55" s="3" t="inlineStr">
        <is>
          <t>KubeCPUOvercommit</t>
        </is>
      </c>
      <c r="E55" s="7" t="inlineStr">
        <is>
          <t>warning</t>
        </is>
      </c>
      <c r="F55" s="3" t="inlineStr">
        <is>
          <t>クラスタ全体の CPU requests オーバーコミット</t>
        </is>
      </c>
      <c r="G55" s="3" t="inlineStr">
        <is>
          <t>Pod の CPU requests 合計が、ノードの allocatable CPU 合計(HA 構成: control-plane 3 台以上ではノード 1 台分を差し引いた値)を超過</t>
        </is>
      </c>
      <c r="H55" s="2" t="inlineStr">
        <is>
          <t>10m(10分)</t>
        </is>
      </c>
      <c r="I55" s="3" t="inlineStr"/>
      <c r="J55" s="3" t="inlineStr">
        <is>
          <t>Cluster has overcommitted CPU resource requests.</t>
        </is>
      </c>
      <c r="K55" s="3" t="inlineStr">
        <is>
          <t>Cluster {{ $labels.cluster }} has overcommitted CPU resource requests for Pods by {{ printf "%.2f" $value }} CPU shares and cannot tolerate node failure.</t>
        </is>
      </c>
      <c r="L55" s="5" t="inlineStr">
        <is>
          <t># Non-HA clusters.
(
  (
    sum by (cluster) (namespace_cpu:kube_pod_container_resource_requests:sum{})
    -
    sum by (cluster) (kube_node_status_allocatable{job="kube-state-metrics",resource="cpu"}) &gt; 0
  )
  and
  count by (cluster) (max by (cluster, node) (kube_node_role{job="kube-state-metrics", role="control-plane"})) &lt; 3
)
or
# HA clusters.
(
  sum by (cluster) (namespace_cpu:kube_pod_container_resource_requests:sum{})
  -
  (
    # Skip clusters with only one allocatable node.
    (
      sum by (cluster) (kube_node_status_allocatable{job="kube-state-metrics",resource="cpu"})
      -
      max by (cluster) (kube_node_status_allocatable{job="kube-state-metrics",resource="cpu"})
    ) &gt; 0
  ) &gt; 0
)</t>
        </is>
      </c>
      <c r="M55" s="6" t="inlineStr">
        <is>
          <t>https://runbooks.prometheus-operator.dev/runbooks/kubernetes/kubecpuovercommit</t>
        </is>
      </c>
      <c r="N55" s="3" t="inlineStr"/>
    </row>
    <row r="56">
      <c r="A56" s="2" t="n">
        <v>55</v>
      </c>
      <c r="B56" s="3" t="inlineStr">
        <is>
          <t>kubernetes-resources</t>
        </is>
      </c>
      <c r="C56" s="3" t="inlineStr">
        <is>
          <t>リソース(Requests/Quota/CPU スロットリング)</t>
        </is>
      </c>
      <c r="D56" s="3" t="inlineStr">
        <is>
          <t>KubeMemoryOvercommit</t>
        </is>
      </c>
      <c r="E56" s="7" t="inlineStr">
        <is>
          <t>warning</t>
        </is>
      </c>
      <c r="F56" s="3" t="inlineStr">
        <is>
          <t>クラスタ全体のメモリ requests オーバーコミット</t>
        </is>
      </c>
      <c r="G56" s="3" t="inlineStr">
        <is>
          <t>Pod のメモリ requests 合計が、ノードの allocatable メモリ合計(HA 構成: control-plane 3 台以上ではノード 1 台分を差し引いた値)を超過</t>
        </is>
      </c>
      <c r="H56" s="2" t="inlineStr">
        <is>
          <t>10m(10分)</t>
        </is>
      </c>
      <c r="I56" s="3" t="inlineStr"/>
      <c r="J56" s="3" t="inlineStr">
        <is>
          <t>Cluster has overcommitted memory resource requests.</t>
        </is>
      </c>
      <c r="K56" s="3" t="inlineStr">
        <is>
          <t>Cluster {{ $labels.cluster }} has overcommitted memory resource requests for Pods by {{ $value | humanize }} bytes and cannot tolerate node failure.</t>
        </is>
      </c>
      <c r="L56" s="5" t="inlineStr">
        <is>
          <t># Non-HA clusters.
(
  (
    sum by (cluster) (namespace_memory:kube_pod_container_resource_requests:sum{})
    -
    sum by (cluster) (kube_node_status_allocatable{job="kube-state-metrics",resource="memory"}) &gt; 0
  )
  and
  count by (cluster) (max by (cluster, node) (kube_node_role{job="kube-state-metrics", role="control-plane"})) &lt; 3
)
or
# HA clusters.
(
  sum by (cluster) (namespace_memory:kube_pod_container_resource_requests:sum{})
  -
  (
    # Skip clusters with only one allocatable node.
    (
      sum by (cluster) (kube_node_status_allocatable{job="kube-state-metrics",resource="memory"})
      -
      max by (cluster) (kube_node_status_allocatable{job="kube-state-metrics",resource="memory"})
    ) &gt; 0
  ) &gt; 0
)</t>
        </is>
      </c>
      <c r="M56" s="6" t="inlineStr">
        <is>
          <t>https://runbooks.prometheus-operator.dev/runbooks/kubernetes/kubememoryovercommit</t>
        </is>
      </c>
      <c r="N56" s="3" t="inlineStr"/>
    </row>
    <row r="57">
      <c r="A57" s="2" t="n">
        <v>56</v>
      </c>
      <c r="B57" s="3" t="inlineStr">
        <is>
          <t>kubernetes-resources</t>
        </is>
      </c>
      <c r="C57" s="3" t="inlineStr">
        <is>
          <t>リソース(Requests/Quota/CPU スロットリング)</t>
        </is>
      </c>
      <c r="D57" s="3" t="inlineStr">
        <is>
          <t>KubeCPUQuotaOvercommit</t>
        </is>
      </c>
      <c r="E57" s="7" t="inlineStr">
        <is>
          <t>warning</t>
        </is>
      </c>
      <c r="F57" s="3" t="inlineStr">
        <is>
          <t>ResourceQuota(CPU)の割当過多</t>
        </is>
      </c>
      <c r="G57" s="3" t="inlineStr">
        <is>
          <t>全 namespace の CPU ハードクォータ合計 / ノード allocatable CPU 合計 が 1.5 を超過</t>
        </is>
      </c>
      <c r="H57" s="2" t="inlineStr">
        <is>
          <t>5m(5分)</t>
        </is>
      </c>
      <c r="I57" s="3" t="inlineStr"/>
      <c r="J57" s="3" t="inlineStr">
        <is>
          <t>Cluster has overcommitted CPU resource requests.</t>
        </is>
      </c>
      <c r="K57" s="3" t="inlineStr">
        <is>
          <t>Cluster {{ $labels.cluster }} has overcommitted CPU resource requests for Namespaces.</t>
        </is>
      </c>
      <c r="L57" s="5" t="inlineStr">
        <is>
          <t>sum by (cluster) (
  min without(resource) (kube_resourcequota{job="kube-state-metrics", type="hard", resource=~"(cpu|requests.cpu)"})
)
/
sum by (cluster) (
  kube_node_status_allocatable{resource="cpu", job="kube-state-metrics"}
) &gt; 1.5</t>
        </is>
      </c>
      <c r="M57" s="6" t="inlineStr">
        <is>
          <t>https://runbooks.prometheus-operator.dev/runbooks/kubernetes/kubecpuquotaovercommit</t>
        </is>
      </c>
      <c r="N57" s="3" t="inlineStr"/>
    </row>
    <row r="58">
      <c r="A58" s="2" t="n">
        <v>57</v>
      </c>
      <c r="B58" s="3" t="inlineStr">
        <is>
          <t>kubernetes-resources</t>
        </is>
      </c>
      <c r="C58" s="3" t="inlineStr">
        <is>
          <t>リソース(Requests/Quota/CPU スロットリング)</t>
        </is>
      </c>
      <c r="D58" s="3" t="inlineStr">
        <is>
          <t>KubeMemoryQuotaOvercommit</t>
        </is>
      </c>
      <c r="E58" s="7" t="inlineStr">
        <is>
          <t>warning</t>
        </is>
      </c>
      <c r="F58" s="3" t="inlineStr">
        <is>
          <t>ResourceQuota(メモリ)の割当過多</t>
        </is>
      </c>
      <c r="G58" s="3" t="inlineStr">
        <is>
          <t>全 namespace のメモリ ハードクォータ合計 / ノード allocatable メモリ合計 が 1.5 を超過</t>
        </is>
      </c>
      <c r="H58" s="2" t="inlineStr">
        <is>
          <t>5m(5分)</t>
        </is>
      </c>
      <c r="I58" s="3" t="inlineStr"/>
      <c r="J58" s="3" t="inlineStr">
        <is>
          <t>Cluster has overcommitted memory resource requests.</t>
        </is>
      </c>
      <c r="K58" s="3" t="inlineStr">
        <is>
          <t>Cluster {{ $labels.cluster }} has overcommitted memory resource requests for Namespaces.</t>
        </is>
      </c>
      <c r="L58" s="5" t="inlineStr">
        <is>
          <t>sum by (cluster) (
  min without(resource) (kube_resourcequota{job="kube-state-metrics", type="hard", resource=~"(memory|requests.memory)"})
)
/
sum by (cluster) (
  kube_node_status_allocatable{resource="memory", job="kube-state-metrics"}
) &gt; 1.5</t>
        </is>
      </c>
      <c r="M58" s="6" t="inlineStr">
        <is>
          <t>https://runbooks.prometheus-operator.dev/runbooks/kubernetes/kubememoryquotaovercommit</t>
        </is>
      </c>
      <c r="N58" s="3" t="inlineStr"/>
    </row>
    <row r="59">
      <c r="A59" s="2" t="n">
        <v>58</v>
      </c>
      <c r="B59" s="3" t="inlineStr">
        <is>
          <t>kubernetes-resources</t>
        </is>
      </c>
      <c r="C59" s="3" t="inlineStr">
        <is>
          <t>リソース(Requests/Quota/CPU スロットリング)</t>
        </is>
      </c>
      <c r="D59" s="3" t="inlineStr">
        <is>
          <t>KubeQuotaAlmostFull</t>
        </is>
      </c>
      <c r="E59" s="9" t="inlineStr">
        <is>
          <t>info</t>
        </is>
      </c>
      <c r="F59" s="3" t="inlineStr">
        <is>
          <t>namespace ResourceQuota の使用率</t>
        </is>
      </c>
      <c r="G59" s="3" t="inlineStr">
        <is>
          <t>used / hard が 90% 超過かつ 100% 未満</t>
        </is>
      </c>
      <c r="H59" s="2" t="inlineStr">
        <is>
          <t>15m(15分)</t>
        </is>
      </c>
      <c r="I59" s="3" t="inlineStr"/>
      <c r="J59" s="3" t="inlineStr">
        <is>
          <t>Namespace quota is going to be full.</t>
        </is>
      </c>
      <c r="K59" s="3" t="inlineStr">
        <is>
          <t>Namespace {{ $labels.namespace }} is using {{ $value | humanizePercentage }} of its {{ $labels.resource }} quota on cluster {{ $labels.cluster }}.</t>
        </is>
      </c>
      <c r="L59" s="5" t="inlineStr">
        <is>
          <t>topk by (cluster, namespace, resource, resourcequota) (1,
  max without (instance, job, type) (
    kube_resourcequota{job="kube-state-metrics", type="used"}
  )
)
/ on (cluster, namespace, resource, resourcequota) group_left()
topk by (cluster, namespace, resource, resourcequota) (1,
  max without (instance, job, type) (
    kube_resourcequota{job="kube-state-metrics", type="hard"}
  ) &gt; 0
)
&gt; 0.9 &lt; 1</t>
        </is>
      </c>
      <c r="M59" s="6" t="inlineStr">
        <is>
          <t>https://runbooks.prometheus-operator.dev/runbooks/kubernetes/kubequotaalmostfull</t>
        </is>
      </c>
      <c r="N59" s="3" t="inlineStr"/>
    </row>
    <row r="60">
      <c r="A60" s="2" t="n">
        <v>59</v>
      </c>
      <c r="B60" s="3" t="inlineStr">
        <is>
          <t>kubernetes-resources</t>
        </is>
      </c>
      <c r="C60" s="3" t="inlineStr">
        <is>
          <t>リソース(Requests/Quota/CPU スロットリング)</t>
        </is>
      </c>
      <c r="D60" s="3" t="inlineStr">
        <is>
          <t>KubeQuotaFullyUsed</t>
        </is>
      </c>
      <c r="E60" s="9" t="inlineStr">
        <is>
          <t>info</t>
        </is>
      </c>
      <c r="F60" s="3" t="inlineStr">
        <is>
          <t>namespace ResourceQuota の使用率</t>
        </is>
      </c>
      <c r="G60" s="3" t="inlineStr">
        <is>
          <t>used / hard が 100%(ちょうど上限)</t>
        </is>
      </c>
      <c r="H60" s="2" t="inlineStr">
        <is>
          <t>15m(15分)</t>
        </is>
      </c>
      <c r="I60" s="3" t="inlineStr"/>
      <c r="J60" s="3" t="inlineStr">
        <is>
          <t>Namespace quota is fully used.</t>
        </is>
      </c>
      <c r="K60" s="3" t="inlineStr">
        <is>
          <t>Namespace {{ $labels.namespace }} is using {{ $value | humanizePercentage }} of its {{ $labels.resource }} quota on cluster {{ $labels.cluster }}.</t>
        </is>
      </c>
      <c r="L60" s="5" t="inlineStr">
        <is>
          <t>topk by (cluster, namespace, resource, resourcequota) (1,
  max without (instance, job, type) (
    kube_resourcequota{job="kube-state-metrics", type="used"}
  )
)
/ on (cluster, namespace, resource, resourcequota) group_left()
topk by (cluster, namespace, resource, resourcequota) (1,
  max without (instance, job, type) (
    kube_resourcequota{job="kube-state-metrics", type="hard"}
  ) &gt; 0
)
== 1</t>
        </is>
      </c>
      <c r="M60" s="6" t="inlineStr">
        <is>
          <t>https://runbooks.prometheus-operator.dev/runbooks/kubernetes/kubequotafullyused</t>
        </is>
      </c>
      <c r="N60" s="3" t="inlineStr"/>
    </row>
    <row r="61">
      <c r="A61" s="2" t="n">
        <v>60</v>
      </c>
      <c r="B61" s="3" t="inlineStr">
        <is>
          <t>kubernetes-resources</t>
        </is>
      </c>
      <c r="C61" s="3" t="inlineStr">
        <is>
          <t>リソース(Requests/Quota/CPU スロットリング)</t>
        </is>
      </c>
      <c r="D61" s="3" t="inlineStr">
        <is>
          <t>KubeQuotaExceeded</t>
        </is>
      </c>
      <c r="E61" s="7" t="inlineStr">
        <is>
          <t>warning</t>
        </is>
      </c>
      <c r="F61" s="3" t="inlineStr">
        <is>
          <t>namespace ResourceQuota の超過</t>
        </is>
      </c>
      <c r="G61" s="3" t="inlineStr">
        <is>
          <t>used / hard が 100% を超過</t>
        </is>
      </c>
      <c r="H61" s="2" t="inlineStr">
        <is>
          <t>15m(15分)</t>
        </is>
      </c>
      <c r="I61" s="3" t="inlineStr"/>
      <c r="J61" s="3" t="inlineStr">
        <is>
          <t>Namespace quota has exceeded the limits.</t>
        </is>
      </c>
      <c r="K61" s="3" t="inlineStr">
        <is>
          <t>Namespace {{ $labels.namespace }} is using {{ $value | humanizePercentage }} of its {{ $labels.resource }} quota on cluster {{ $labels.cluster }}.</t>
        </is>
      </c>
      <c r="L61" s="5" t="inlineStr">
        <is>
          <t>topk by (cluster, namespace, resource, resourcequota) (1,
  max without (instance, job, type) (
    kube_resourcequota{job="kube-state-metrics", type="used"}
  )
)
/ on (cluster, namespace, resource, resourcequota) group_left()
topk by (cluster, namespace, resource, resourcequota) (1,
  max without (instance, job, type) (
    kube_resourcequota{job="kube-state-metrics", type="hard"}
  ) &gt; 0
) &gt; 1</t>
        </is>
      </c>
      <c r="M61" s="6" t="inlineStr">
        <is>
          <t>https://runbooks.prometheus-operator.dev/runbooks/kubernetes/kubequotaexceeded</t>
        </is>
      </c>
      <c r="N61" s="3" t="inlineStr"/>
    </row>
    <row r="62">
      <c r="A62" s="2" t="n">
        <v>61</v>
      </c>
      <c r="B62" s="3" t="inlineStr">
        <is>
          <t>kubernetes-resources</t>
        </is>
      </c>
      <c r="C62" s="3" t="inlineStr">
        <is>
          <t>リソース(Requests/Quota/CPU スロットリング)</t>
        </is>
      </c>
      <c r="D62" s="3" t="inlineStr">
        <is>
          <t>CPUThrottlingHigh</t>
        </is>
      </c>
      <c r="E62" s="9" t="inlineStr">
        <is>
          <t>info</t>
        </is>
      </c>
      <c r="F62" s="3" t="inlineStr">
        <is>
          <t>コンテナの CPU スロットリング率</t>
        </is>
      </c>
      <c r="G62" s="3" t="inlineStr">
        <is>
          <t>直近 5 分間で CFS スロットリングされた期間の割合が 25% を超過(CPU limits による制限)</t>
        </is>
      </c>
      <c r="H62" s="2" t="inlineStr">
        <is>
          <t>15m(15分)</t>
        </is>
      </c>
      <c r="I62" s="3" t="inlineStr"/>
      <c r="J62" s="3" t="inlineStr">
        <is>
          <t>Processes experience elevated CPU throttling.</t>
        </is>
      </c>
      <c r="K62" s="3" t="inlineStr">
        <is>
          <t>{{ $value | humanizePercentage }} throttling of CPU in namespace {{ $labels.namespace }} for container {{ $labels.container }} in pod {{ $labels.pod }} on cluster {{ $labels.cluster }}.</t>
        </is>
      </c>
      <c r="L62" s="5" t="inlineStr">
        <is>
          <t>sum without (id, metrics_path, name, image, endpoint, job, node) (
  topk by (cluster, namespace, pod, container, instance) (1,
    increase(
      container_cpu_cfs_throttled_periods_total{container!="", job="kubelet", metrics_path="/metrics/cadvisor", }
    [5m])
  )
)
/ on (cluster, namespace, pod, container, instance) group_left
sum without (id, metrics_path, name, image, endpoint, job, node) (
  topk by (cluster, namespace, pod, container, instance) (1,
    increase(
      container_cpu_cfs_periods_total{job="kubelet", metrics_path="/metrics/cadvisor", }
    [5m])
  )
)
&gt; ( 25 / 100 )</t>
        </is>
      </c>
      <c r="M62" s="6" t="inlineStr">
        <is>
          <t>https://runbooks.prometheus-operator.dev/runbooks/kubernetes/cputhrottlinghigh</t>
        </is>
      </c>
      <c r="N62" s="3" t="inlineStr"/>
    </row>
    <row r="63">
      <c r="A63" s="2" t="n">
        <v>62</v>
      </c>
      <c r="B63" s="3" t="inlineStr">
        <is>
          <t>kubernetes-storage</t>
        </is>
      </c>
      <c r="C63" s="3" t="inlineStr">
        <is>
          <t>ストレージ(PV/PVC)</t>
        </is>
      </c>
      <c r="D63" s="3" t="inlineStr">
        <is>
          <t>KubePersistentVolumeFillingUp</t>
        </is>
      </c>
      <c r="E63" s="4" t="inlineStr">
        <is>
          <t>critical</t>
        </is>
      </c>
      <c r="F63" s="3" t="inlineStr">
        <is>
          <t>PersistentVolume の空き容量</t>
        </is>
      </c>
      <c r="G63" s="3" t="inlineStr">
        <is>
          <t>空き容量 / 総容量 が 3% 未満、かつ使用量 &gt; 0</t>
        </is>
      </c>
      <c r="H63" s="2" t="inlineStr">
        <is>
          <t>1m(1分)</t>
        </is>
      </c>
      <c r="I63" s="3" t="inlineStr"/>
      <c r="J63" s="3" t="inlineStr">
        <is>
          <t>PersistentVolume is filling up.</t>
        </is>
      </c>
      <c r="K63" s="3" t="inlineStr">
        <is>
          <t>The PersistentVolume claimed by {{ $labels.persistentvolumeclaim }} in Namespace {{ $labels.namespace }} {{ with $labels.cluster -}} on Cluster {{ . }} {{- end }} is only {{ $value | humanizePercentage }} free.</t>
        </is>
      </c>
      <c r="L63" s="5" t="inlineStr">
        <is>
          <t>(
  kubelet_volume_stats_available_bytes{job="kubelet", namespace=~".*", metrics_path="/metrics"}
    /
  kubelet_volume_stats_capacity_bytes{job="kubelet", namespace=~".*", metrics_path="/metrics"}
) &lt; 0.03
and
kubelet_volume_stats_used_bytes{job="kubelet", namespace=~".*", metrics_path="/metrics"} &gt; 0
unless on (cluster, namespace, persistentvolumeclaim)
kube_persistentvolumeclaim_access_mode{ access_mode="ReadOnlyMany"} == 1
unless on (cluster, namespace, persistentvolumeclaim)
kube_persistentvolumeclaim_labels{label_excluded_from_alerts="true"} == 1</t>
        </is>
      </c>
      <c r="M63" s="6" t="inlineStr">
        <is>
          <t>https://runbooks.prometheus-operator.dev/runbooks/kubernetes/kubepersistentvolumefillingup</t>
        </is>
      </c>
      <c r="N63" s="3" t="inlineStr">
        <is>
          <t>ReadOnlyMany の PVC、および label excluded_from_alerts=true の PVC は除外。同名アラートが複数段階(severity 別)で定義されている。</t>
        </is>
      </c>
    </row>
    <row r="64">
      <c r="A64" s="2" t="n">
        <v>63</v>
      </c>
      <c r="B64" s="3" t="inlineStr">
        <is>
          <t>kubernetes-storage</t>
        </is>
      </c>
      <c r="C64" s="3" t="inlineStr">
        <is>
          <t>ストレージ(PV/PVC)</t>
        </is>
      </c>
      <c r="D64" s="3" t="inlineStr">
        <is>
          <t>KubePersistentVolumeFillingUp</t>
        </is>
      </c>
      <c r="E64" s="7" t="inlineStr">
        <is>
          <t>warning</t>
        </is>
      </c>
      <c r="F64" s="3" t="inlineStr">
        <is>
          <t>PersistentVolume の空き容量(枯渇予測)</t>
        </is>
      </c>
      <c r="G64" s="3" t="inlineStr">
        <is>
          <t>空き容量 / 総容量 が 15% 未満、かつ直近 6 時間の傾向から 4 日以内に空き容量が 0 になると線形予測</t>
        </is>
      </c>
      <c r="H64" s="2" t="inlineStr">
        <is>
          <t>1h(1時間)</t>
        </is>
      </c>
      <c r="I64" s="3" t="inlineStr"/>
      <c r="J64" s="3" t="inlineStr">
        <is>
          <t>PersistentVolume is filling up.</t>
        </is>
      </c>
      <c r="K64" s="3" t="inlineStr">
        <is>
          <t>Based on recent sampling, the PersistentVolume claimed by {{ $labels.persistentvolumeclaim }} in Namespace {{ $labels.namespace }} {{ with $labels.cluster -}} on Cluster {{ . }} {{- end }} is expected to fill up within four days. Currently {{ $value | humanizePercentage }} is available.</t>
        </is>
      </c>
      <c r="L64" s="5" t="inlineStr">
        <is>
          <t>(
  kubelet_volume_stats_available_bytes{job="kubelet", namespace=~".*", metrics_path="/metrics"}
    /
  kubelet_volume_stats_capacity_bytes{job="kubelet", namespace=~".*", metrics_path="/metrics"}
) &lt; 0.15
and
kubelet_volume_stats_used_bytes{job="kubelet", namespace=~".*", metrics_path="/metrics"} &gt; 0
and
predict_linear(kubelet_volume_stats_available_bytes{job="kubelet", namespace=~".*", metrics_path="/metrics"}[6h], 4 * 24 * 3600) &lt; 0
unless on (cluster, namespace, persistentvolumeclaim)
kube_persistentvolumeclaim_access_mode{ access_mode="ReadOnlyMany"} == 1
unless on (cluster, namespace, persistentvolumeclaim)
kube_persistentvolumeclaim_labels{label_excluded_from_alerts="true"} == 1</t>
        </is>
      </c>
      <c r="M64" s="6" t="inlineStr">
        <is>
          <t>https://runbooks.prometheus-operator.dev/runbooks/kubernetes/kubepersistentvolumefillingup</t>
        </is>
      </c>
      <c r="N64" s="3" t="inlineStr">
        <is>
          <t>ReadOnlyMany の PVC、および label excluded_from_alerts=true の PVC は除外。同名アラートが複数段階(severity 別)で定義されている。</t>
        </is>
      </c>
    </row>
    <row r="65">
      <c r="A65" s="2" t="n">
        <v>64</v>
      </c>
      <c r="B65" s="3" t="inlineStr">
        <is>
          <t>kubernetes-storage</t>
        </is>
      </c>
      <c r="C65" s="3" t="inlineStr">
        <is>
          <t>ストレージ(PV/PVC)</t>
        </is>
      </c>
      <c r="D65" s="3" t="inlineStr">
        <is>
          <t>KubePersistentVolumeInodesFillingUp</t>
        </is>
      </c>
      <c r="E65" s="4" t="inlineStr">
        <is>
          <t>critical</t>
        </is>
      </c>
      <c r="F65" s="3" t="inlineStr">
        <is>
          <t>PersistentVolume の空き inode</t>
        </is>
      </c>
      <c r="G65" s="3" t="inlineStr">
        <is>
          <t>空き inode / 総 inode が 3% 未満、かつ使用 inode &gt; 0</t>
        </is>
      </c>
      <c r="H65" s="2" t="inlineStr">
        <is>
          <t>1m(1分)</t>
        </is>
      </c>
      <c r="I65" s="3" t="inlineStr"/>
      <c r="J65" s="3" t="inlineStr">
        <is>
          <t>PersistentVolumeInodes are filling up.</t>
        </is>
      </c>
      <c r="K65" s="3" t="inlineStr">
        <is>
          <t>The PersistentVolume claimed by {{ $labels.persistentvolumeclaim }} in Namespace {{ $labels.namespace }} {{ with $labels.cluster -}} on Cluster {{ . }} {{- end }} only has {{ $value | humanizePercentage }} free inodes.</t>
        </is>
      </c>
      <c r="L65" s="5" t="inlineStr">
        <is>
          <t>(
  kubelet_volume_stats_inodes_free{job="kubelet", namespace=~".*", metrics_path="/metrics"}
    /
  kubelet_volume_stats_inodes{job="kubelet", namespace=~".*", metrics_path="/metrics"}
) &lt; 0.03
and
kubelet_volume_stats_inodes_used{job="kubelet", namespace=~".*", metrics_path="/metrics"} &gt; 0
unless on (cluster, namespace, persistentvolumeclaim)
kube_persistentvolumeclaim_access_mode{ access_mode="ReadOnlyMany"} == 1
unless on (cluster, namespace, persistentvolumeclaim)
kube_persistentvolumeclaim_labels{label_excluded_from_alerts="true"} == 1</t>
        </is>
      </c>
      <c r="M65" s="6" t="inlineStr">
        <is>
          <t>https://runbooks.prometheus-operator.dev/runbooks/kubernetes/kubepersistentvolumeinodesfillingup</t>
        </is>
      </c>
      <c r="N65" s="3" t="inlineStr">
        <is>
          <t>ReadOnlyMany の PVC、および label excluded_from_alerts=true の PVC は除外。同名アラートが複数段階(severity 別)で定義されている。</t>
        </is>
      </c>
    </row>
    <row r="66">
      <c r="A66" s="2" t="n">
        <v>65</v>
      </c>
      <c r="B66" s="3" t="inlineStr">
        <is>
          <t>kubernetes-storage</t>
        </is>
      </c>
      <c r="C66" s="3" t="inlineStr">
        <is>
          <t>ストレージ(PV/PVC)</t>
        </is>
      </c>
      <c r="D66" s="3" t="inlineStr">
        <is>
          <t>KubePersistentVolumeInodesFillingUp</t>
        </is>
      </c>
      <c r="E66" s="7" t="inlineStr">
        <is>
          <t>warning</t>
        </is>
      </c>
      <c r="F66" s="3" t="inlineStr">
        <is>
          <t>PersistentVolume の空き inode(枯渇予測)</t>
        </is>
      </c>
      <c r="G66" s="3" t="inlineStr">
        <is>
          <t>空き inode / 総 inode が 15% 未満、かつ直近 6 時間の傾向から 4 日以内に空き inode が 0 になると線形予測</t>
        </is>
      </c>
      <c r="H66" s="2" t="inlineStr">
        <is>
          <t>1h(1時間)</t>
        </is>
      </c>
      <c r="I66" s="3" t="inlineStr"/>
      <c r="J66" s="3" t="inlineStr">
        <is>
          <t>PersistentVolumeInodes are filling up.</t>
        </is>
      </c>
      <c r="K66" s="3" t="inlineStr">
        <is>
          <t>Based on recent sampling, the PersistentVolume claimed by {{ $labels.persistentvolumeclaim }} in Namespace {{ $labels.namespace }} {{ with $labels.cluster -}} on Cluster {{ . }} {{- end }} is expected to run out of inodes within four days. Currently {{ $value | humanizePercentage }} of its inodes are free.</t>
        </is>
      </c>
      <c r="L66" s="5" t="inlineStr">
        <is>
          <t>(
  kubelet_volume_stats_inodes_free{job="kubelet", namespace=~".*", metrics_path="/metrics"}
    /
  kubelet_volume_stats_inodes{job="kubelet", namespace=~".*", metrics_path="/metrics"}
) &lt; 0.15
and
kubelet_volume_stats_inodes_used{job="kubelet", namespace=~".*", metrics_path="/metrics"} &gt; 0
and
predict_linear(kubelet_volume_stats_inodes_free{job="kubelet", namespace=~".*", metrics_path="/metrics"}[6h], 4 * 24 * 3600) &lt; 0
unless on (cluster, namespace, persistentvolumeclaim)
kube_persistentvolumeclaim_access_mode{ access_mode="ReadOnlyMany"} == 1
unless on (cluster, namespace, persistentvolumeclaim)
kube_persistentvolumeclaim_labels{label_excluded_from_alerts="true"} == 1</t>
        </is>
      </c>
      <c r="M66" s="6" t="inlineStr">
        <is>
          <t>https://runbooks.prometheus-operator.dev/runbooks/kubernetes/kubepersistentvolumeinodesfillingup</t>
        </is>
      </c>
      <c r="N66" s="3" t="inlineStr">
        <is>
          <t>ReadOnlyMany の PVC、および label excluded_from_alerts=true の PVC は除外。同名アラートが複数段階(severity 別)で定義されている。</t>
        </is>
      </c>
    </row>
    <row r="67">
      <c r="A67" s="2" t="n">
        <v>66</v>
      </c>
      <c r="B67" s="3" t="inlineStr">
        <is>
          <t>kubernetes-storage</t>
        </is>
      </c>
      <c r="C67" s="3" t="inlineStr">
        <is>
          <t>ストレージ(PV/PVC)</t>
        </is>
      </c>
      <c r="D67" s="3" t="inlineStr">
        <is>
          <t>KubePersistentVolumeErrors</t>
        </is>
      </c>
      <c r="E67" s="4" t="inlineStr">
        <is>
          <t>critical</t>
        </is>
      </c>
      <c r="F67" s="3" t="inlineStr">
        <is>
          <t>PersistentVolume のプロビジョニング状態</t>
        </is>
      </c>
      <c r="G67" s="3" t="inlineStr">
        <is>
          <t>phase が Failed または Pending の PV が存在</t>
        </is>
      </c>
      <c r="H67" s="2" t="inlineStr">
        <is>
          <t>5m(5分)</t>
        </is>
      </c>
      <c r="I67" s="3" t="inlineStr"/>
      <c r="J67" s="3" t="inlineStr">
        <is>
          <t>PersistentVolume is having issues with provisioning.</t>
        </is>
      </c>
      <c r="K67" s="3" t="inlineStr">
        <is>
          <t>The persistent volume {{ $labels.persistentvolume }} {{ with $labels.cluster -}} on Cluster {{ . }} {{- end }} has status {{ $labels.phase }}.</t>
        </is>
      </c>
      <c r="L67" s="5" t="inlineStr">
        <is>
          <t>kube_persistentvolume_status_phase{phase=~"Failed|Pending",job="kube-state-metrics"} &gt; 0</t>
        </is>
      </c>
      <c r="M67" s="6" t="inlineStr">
        <is>
          <t>https://runbooks.prometheus-operator.dev/runbooks/kubernetes/kubepersistentvolumeerrors</t>
        </is>
      </c>
      <c r="N67" s="3" t="inlineStr"/>
    </row>
    <row r="68">
      <c r="A68" s="2" t="n">
        <v>67</v>
      </c>
      <c r="B68" s="3" t="inlineStr">
        <is>
          <t>kubernetes-system</t>
        </is>
      </c>
      <c r="C68" s="3" t="inlineStr">
        <is>
          <t>Kubernetes コンポーネント全般</t>
        </is>
      </c>
      <c r="D68" s="3" t="inlineStr">
        <is>
          <t>KubeVersionMismatch</t>
        </is>
      </c>
      <c r="E68" s="7" t="inlineStr">
        <is>
          <t>warning</t>
        </is>
      </c>
      <c r="F68" s="3" t="inlineStr">
        <is>
          <t>Kubernetes コンポーネント間のバージョン整合性</t>
        </is>
      </c>
      <c r="G68" s="3" t="inlineStr">
        <is>
          <t>クラスタ内で稼働する Kubernetes コンポーネントのマイナーバージョン(vX.Y)が 2 種類以上(kube-dns/coredns は除外)</t>
        </is>
      </c>
      <c r="H68" s="2" t="inlineStr">
        <is>
          <t>15m(15分)</t>
        </is>
      </c>
      <c r="I68" s="3" t="inlineStr"/>
      <c r="J68" s="3" t="inlineStr">
        <is>
          <t>Different semantic versions of Kubernetes components running.</t>
        </is>
      </c>
      <c r="K68" s="3" t="inlineStr">
        <is>
          <t>There are {{ $value }} different semantic versions of Kubernetes components running on cluster {{ $labels.cluster }}.</t>
        </is>
      </c>
      <c r="L68" s="5" t="inlineStr">
        <is>
          <t>count by (cluster) (count by (git_version, cluster) (label_replace(kubernetes_build_info{job!~"kube-dns|coredns"},"git_version","$1","git_version","(v[0-9]*.[0-9]*).*"))) &gt; 1</t>
        </is>
      </c>
      <c r="M68" s="6" t="inlineStr">
        <is>
          <t>https://runbooks.prometheus-operator.dev/runbooks/kubernetes/kubeversionmismatch</t>
        </is>
      </c>
      <c r="N68" s="3" t="inlineStr"/>
    </row>
    <row r="69">
      <c r="A69" s="2" t="n">
        <v>68</v>
      </c>
      <c r="B69" s="3" t="inlineStr">
        <is>
          <t>kubernetes-system</t>
        </is>
      </c>
      <c r="C69" s="3" t="inlineStr">
        <is>
          <t>Kubernetes コンポーネント全般</t>
        </is>
      </c>
      <c r="D69" s="3" t="inlineStr">
        <is>
          <t>KubeClientErrors</t>
        </is>
      </c>
      <c r="E69" s="7" t="inlineStr">
        <is>
          <t>warning</t>
        </is>
      </c>
      <c r="F69" s="3" t="inlineStr">
        <is>
          <t>Kubernetes API クライアントのエラー率</t>
        </is>
      </c>
      <c r="G69" s="3" t="inlineStr">
        <is>
          <t>直近 5 分間の API リクエストのうち 5xx 応答の割合が 1% を超過</t>
        </is>
      </c>
      <c r="H69" s="2" t="inlineStr">
        <is>
          <t>15m(15分)</t>
        </is>
      </c>
      <c r="I69" s="3" t="inlineStr"/>
      <c r="J69" s="3" t="inlineStr">
        <is>
          <t>Kubernetes API server client is experiencing errors.</t>
        </is>
      </c>
      <c r="K69" s="3" t="inlineStr">
        <is>
          <t>Kubernetes API server client '{{ $labels.job }}/{{ $labels.instance }}' is experiencing {{ $value | humanizePercentage }} errors on cluster {{ $labels.cluster }}.</t>
        </is>
      </c>
      <c r="L69" s="5" t="inlineStr">
        <is>
          <t>(sum(rate(rest_client_requests_total{job="apiserver",code=~"5.."}[5m])) by (cluster, instance, job, namespace)
  /
sum(rate(rest_client_requests_total{job="apiserver"}[5m])) by (cluster, instance, job, namespace))
&gt; 0.01</t>
        </is>
      </c>
      <c r="M69" s="6" t="inlineStr">
        <is>
          <t>https://runbooks.prometheus-operator.dev/runbooks/kubernetes/kubeclienterrors</t>
        </is>
      </c>
      <c r="N69" s="3" t="inlineStr"/>
    </row>
    <row r="70">
      <c r="A70" s="2" t="n">
        <v>69</v>
      </c>
      <c r="B70" s="3" t="inlineStr">
        <is>
          <t>kubernetes-system-apiserver</t>
        </is>
      </c>
      <c r="C70" s="3" t="inlineStr">
        <is>
          <t>kube-apiserver</t>
        </is>
      </c>
      <c r="D70" s="3" t="inlineStr">
        <is>
          <t>KubeClientCertificateExpiration</t>
        </is>
      </c>
      <c r="E70" s="7" t="inlineStr">
        <is>
          <t>warning</t>
        </is>
      </c>
      <c r="F70" s="3" t="inlineStr">
        <is>
          <t>API サーバに接続するクライアント証明書の有効期限</t>
        </is>
      </c>
      <c r="G70" s="3" t="inlineStr">
        <is>
          <t>クライアント証明書の残存有効期間(1 パーセンタイル)が 604800 秒(7 日)未満</t>
        </is>
      </c>
      <c r="H70" s="2" t="inlineStr">
        <is>
          <t>5m(5分)</t>
        </is>
      </c>
      <c r="I70" s="3" t="inlineStr"/>
      <c r="J70" s="3" t="inlineStr">
        <is>
          <t>Client certificate is about to expire.</t>
        </is>
      </c>
      <c r="K70" s="3" t="inlineStr">
        <is>
          <t>A client certificate used to authenticate to kubernetes apiserver is expiring in less than 7.0 days on cluster {{ $labels.cluster }}.</t>
        </is>
      </c>
      <c r="L70" s="5" t="inlineStr">
        <is>
          <t>histogram_quantile(0.01, sum without (namespace, service, endpoint) (rate(apiserver_client_certificate_expiration_seconds_bucket{job="apiserver"}[5m]))) &lt; 604800
and
on (job, cluster, instance) apiserver_client_certificate_expiration_seconds_count{job="apiserver"} &gt; 0</t>
        </is>
      </c>
      <c r="M70" s="6" t="inlineStr">
        <is>
          <t>https://runbooks.prometheus-operator.dev/runbooks/kubernetes/kubeclientcertificateexpiration</t>
        </is>
      </c>
      <c r="N70" s="3" t="inlineStr">
        <is>
          <t>同名アラートが複数段階(severity 別)で定義されている。</t>
        </is>
      </c>
    </row>
    <row r="71">
      <c r="A71" s="2" t="n">
        <v>70</v>
      </c>
      <c r="B71" s="3" t="inlineStr">
        <is>
          <t>kubernetes-system-apiserver</t>
        </is>
      </c>
      <c r="C71" s="3" t="inlineStr">
        <is>
          <t>kube-apiserver</t>
        </is>
      </c>
      <c r="D71" s="3" t="inlineStr">
        <is>
          <t>KubeClientCertificateExpiration</t>
        </is>
      </c>
      <c r="E71" s="4" t="inlineStr">
        <is>
          <t>critical</t>
        </is>
      </c>
      <c r="F71" s="3" t="inlineStr">
        <is>
          <t>API サーバに接続するクライアント証明書の有効期限</t>
        </is>
      </c>
      <c r="G71" s="3" t="inlineStr">
        <is>
          <t>クライアント証明書の残存有効期間(1 パーセンタイル)が 86400 秒(24 時間)未満</t>
        </is>
      </c>
      <c r="H71" s="2" t="inlineStr">
        <is>
          <t>5m(5分)</t>
        </is>
      </c>
      <c r="I71" s="3" t="inlineStr"/>
      <c r="J71" s="3" t="inlineStr">
        <is>
          <t>Client certificate is about to expire.</t>
        </is>
      </c>
      <c r="K71" s="3" t="inlineStr">
        <is>
          <t>A client certificate used to authenticate to kubernetes apiserver is expiring in less than 24.0 hours on cluster {{ $labels.cluster }}.</t>
        </is>
      </c>
      <c r="L71" s="5" t="inlineStr">
        <is>
          <t>histogram_quantile(0.01, sum without (namespace, service, endpoint) (rate(apiserver_client_certificate_expiration_seconds_bucket{job="apiserver"}[5m]))) &lt; 86400
and
on (job, cluster, instance) apiserver_client_certificate_expiration_seconds_count{job="apiserver"} &gt; 0</t>
        </is>
      </c>
      <c r="M71" s="6" t="inlineStr">
        <is>
          <t>https://runbooks.prometheus-operator.dev/runbooks/kubernetes/kubeclientcertificateexpiration</t>
        </is>
      </c>
      <c r="N71" s="3" t="inlineStr">
        <is>
          <t>同名アラートが複数段階(severity 別)で定義されている。</t>
        </is>
      </c>
    </row>
    <row r="72">
      <c r="A72" s="2" t="n">
        <v>71</v>
      </c>
      <c r="B72" s="3" t="inlineStr">
        <is>
          <t>kubernetes-system-apiserver</t>
        </is>
      </c>
      <c r="C72" s="3" t="inlineStr">
        <is>
          <t>kube-apiserver</t>
        </is>
      </c>
      <c r="D72" s="3" t="inlineStr">
        <is>
          <t>KubeAggregatedAPIErrors</t>
        </is>
      </c>
      <c r="E72" s="7" t="inlineStr">
        <is>
          <t>warning</t>
        </is>
      </c>
      <c r="F72" s="3" t="inlineStr">
        <is>
          <t>Aggregated API(APIService)のエラー</t>
        </is>
      </c>
      <c r="G72" s="3" t="inlineStr">
        <is>
          <t>直近 1 分間で APIService の unavailable 遷移回数の増分が 0 より大きい</t>
        </is>
      </c>
      <c r="H72" s="2" t="inlineStr">
        <is>
          <t>10m(10分)</t>
        </is>
      </c>
      <c r="I72" s="3" t="inlineStr"/>
      <c r="J72" s="3" t="inlineStr">
        <is>
          <t>Kubernetes aggregated API has reported errors.</t>
        </is>
      </c>
      <c r="K72" s="3" t="inlineStr">
        <is>
          <t>Kubernetes aggregated API {{ $labels.instance }}/{{ $labels.name }} has reported {{ $labels.reason }} errors on cluster {{ $labels.cluster }}.</t>
        </is>
      </c>
      <c r="L72" s="5" t="inlineStr">
        <is>
          <t>sum by (cluster, instance, name, reason)(increase(aggregator_unavailable_apiservice_total{job="apiserver"}[1m])) &gt; 0</t>
        </is>
      </c>
      <c r="M72" s="6" t="inlineStr">
        <is>
          <t>https://runbooks.prometheus-operator.dev/runbooks/kubernetes/kubeaggregatedapierrors</t>
        </is>
      </c>
      <c r="N72" s="3" t="inlineStr"/>
    </row>
    <row r="73">
      <c r="A73" s="2" t="n">
        <v>72</v>
      </c>
      <c r="B73" s="3" t="inlineStr">
        <is>
          <t>kubernetes-system-apiserver</t>
        </is>
      </c>
      <c r="C73" s="3" t="inlineStr">
        <is>
          <t>kube-apiserver</t>
        </is>
      </c>
      <c r="D73" s="3" t="inlineStr">
        <is>
          <t>KubeAggregatedAPIDown</t>
        </is>
      </c>
      <c r="E73" s="7" t="inlineStr">
        <is>
          <t>warning</t>
        </is>
      </c>
      <c r="F73" s="3" t="inlineStr">
        <is>
          <t>Aggregated API(APIService)の可用性</t>
        </is>
      </c>
      <c r="G73" s="3" t="inlineStr">
        <is>
          <t>直近 10 分間の APIService 可用率が 85% 未満</t>
        </is>
      </c>
      <c r="H73" s="2" t="inlineStr">
        <is>
          <t>5m(5分)</t>
        </is>
      </c>
      <c r="I73" s="3" t="inlineStr"/>
      <c r="J73" s="3" t="inlineStr">
        <is>
          <t>Kubernetes aggregated API is down.</t>
        </is>
      </c>
      <c r="K73" s="3" t="inlineStr">
        <is>
          <t>Kubernetes aggregated API {{ $labels.name }}/{{ $labels.namespace }} has been only {{ $value | humanize }}% available over the last 10m on cluster {{ $labels.cluster }}.</t>
        </is>
      </c>
      <c r="L73" s="5" t="inlineStr">
        <is>
          <t>(1 - max by (name, namespace, cluster)(avg_over_time(aggregator_unavailable_apiservice{job="apiserver"}[10m]))) * 100 &lt; 85</t>
        </is>
      </c>
      <c r="M73" s="6" t="inlineStr">
        <is>
          <t>https://runbooks.prometheus-operator.dev/runbooks/kubernetes/kubeaggregatedapidown</t>
        </is>
      </c>
      <c r="N73" s="3" t="inlineStr"/>
    </row>
    <row r="74">
      <c r="A74" s="2" t="n">
        <v>73</v>
      </c>
      <c r="B74" s="3" t="inlineStr">
        <is>
          <t>kubernetes-system-apiserver</t>
        </is>
      </c>
      <c r="C74" s="3" t="inlineStr">
        <is>
          <t>kube-apiserver</t>
        </is>
      </c>
      <c r="D74" s="3" t="inlineStr">
        <is>
          <t>KubeAPIDown</t>
        </is>
      </c>
      <c r="E74" s="4" t="inlineStr">
        <is>
          <t>critical</t>
        </is>
      </c>
      <c r="F74" s="3" t="inlineStr">
        <is>
          <t>kube-apiserver のスクレイプ対象存在</t>
        </is>
      </c>
      <c r="G74" s="3" t="inlineStr">
        <is>
          <t>job=apiserver の up メトリクスが存在しない(全インスタンスがターゲット検出から消失)</t>
        </is>
      </c>
      <c r="H74" s="2" t="inlineStr">
        <is>
          <t>15m(15分)</t>
        </is>
      </c>
      <c r="I74" s="3" t="inlineStr"/>
      <c r="J74" s="3" t="inlineStr">
        <is>
          <t>Target disappeared from Prometheus target discovery.</t>
        </is>
      </c>
      <c r="K74" s="3" t="inlineStr">
        <is>
          <t>KubeAPI has disappeared from Prometheus target discovery.</t>
        </is>
      </c>
      <c r="L74" s="5" t="inlineStr">
        <is>
          <t>absent(up{job="apiserver"})</t>
        </is>
      </c>
      <c r="M74" s="6" t="inlineStr">
        <is>
          <t>https://runbooks.prometheus-operator.dev/runbooks/kubernetes/kubeapidown</t>
        </is>
      </c>
      <c r="N74" s="3" t="inlineStr"/>
    </row>
    <row r="75">
      <c r="A75" s="2" t="n">
        <v>74</v>
      </c>
      <c r="B75" s="3" t="inlineStr">
        <is>
          <t>kubernetes-system-apiserver</t>
        </is>
      </c>
      <c r="C75" s="3" t="inlineStr">
        <is>
          <t>kube-apiserver</t>
        </is>
      </c>
      <c r="D75" s="3" t="inlineStr">
        <is>
          <t>KubeAPIInstanceUnreachable</t>
        </is>
      </c>
      <c r="E75" s="7" t="inlineStr">
        <is>
          <t>warning</t>
        </is>
      </c>
      <c r="F75" s="3" t="inlineStr">
        <is>
          <t>kube-apiserver 個別インスタンスの到達性</t>
        </is>
      </c>
      <c r="G75" s="3" t="inlineStr">
        <is>
          <t>up{job=apiserver} == 0(特定インスタンスがスクレイプ不可)</t>
        </is>
      </c>
      <c r="H75" s="2" t="inlineStr">
        <is>
          <t>15m(15分)</t>
        </is>
      </c>
      <c r="I75" s="3" t="inlineStr"/>
      <c r="J75" s="3" t="inlineStr">
        <is>
          <t>KubeAPI instance is unreachable.</t>
        </is>
      </c>
      <c r="K75" s="3" t="inlineStr">
        <is>
          <t>A KubeAPI instance has been unreachable for more than 15 minutes.</t>
        </is>
      </c>
      <c r="L75" s="5" t="inlineStr">
        <is>
          <t>up{job="apiserver"} == 0</t>
        </is>
      </c>
      <c r="M75" s="6" t="inlineStr">
        <is>
          <t>https://runbooks.prometheus-operator.dev/runbooks/kubernetes/kubeapiinstanceunreachable</t>
        </is>
      </c>
      <c r="N75" s="3" t="inlineStr"/>
    </row>
    <row r="76">
      <c r="A76" s="2" t="n">
        <v>75</v>
      </c>
      <c r="B76" s="3" t="inlineStr">
        <is>
          <t>kubernetes-system-apiserver</t>
        </is>
      </c>
      <c r="C76" s="3" t="inlineStr">
        <is>
          <t>kube-apiserver</t>
        </is>
      </c>
      <c r="D76" s="3" t="inlineStr">
        <is>
          <t>KubeAPITerminatedRequests</t>
        </is>
      </c>
      <c r="E76" s="7" t="inlineStr">
        <is>
          <t>warning</t>
        </is>
      </c>
      <c r="F76" s="3" t="inlineStr">
        <is>
          <t>kube-apiserver のリクエスト強制終了率</t>
        </is>
      </c>
      <c r="G76" s="3" t="inlineStr">
        <is>
          <t>直近 10 分間で強制終了(terminated)されたリクエストの割合が 20% を超過(過負荷保護 APF による切断等)</t>
        </is>
      </c>
      <c r="H76" s="2" t="inlineStr">
        <is>
          <t>5m(5分)</t>
        </is>
      </c>
      <c r="I76" s="3" t="inlineStr"/>
      <c r="J76" s="3" t="inlineStr">
        <is>
          <t>The kubernetes apiserver has terminated {{ $value | humanizePercentage }} of its incoming requests.</t>
        </is>
      </c>
      <c r="K76" s="3" t="inlineStr">
        <is>
          <t>The kubernetes apiserver has terminated {{ $value | humanizePercentage }} of its incoming requests on cluster {{ $labels.cluster }}.</t>
        </is>
      </c>
      <c r="L76" s="5" t="inlineStr">
        <is>
          <t>sum by (cluster) (rate(apiserver_request_terminations_total{job="apiserver"}[10m])) / ( sum by (cluster) (rate(apiserver_request_total{job="apiserver"}[10m])) + sum by (cluster) (rate(apiserver_request_terminations_total{job="apiserver"}[10m])) ) &gt; 0.20</t>
        </is>
      </c>
      <c r="M76" s="6" t="inlineStr">
        <is>
          <t>https://runbooks.prometheus-operator.dev/runbooks/kubernetes/kubeapiterminatedrequests</t>
        </is>
      </c>
      <c r="N76" s="3" t="inlineStr"/>
    </row>
    <row r="77">
      <c r="A77" s="2" t="n">
        <v>76</v>
      </c>
      <c r="B77" s="3" t="inlineStr">
        <is>
          <t>kubernetes-system-controller-manager</t>
        </is>
      </c>
      <c r="C77" s="3" t="inlineStr">
        <is>
          <t>kube-controller-manager</t>
        </is>
      </c>
      <c r="D77" s="3" t="inlineStr">
        <is>
          <t>KubeControllerManagerDown</t>
        </is>
      </c>
      <c r="E77" s="4" t="inlineStr">
        <is>
          <t>critical</t>
        </is>
      </c>
      <c r="F77" s="3" t="inlineStr">
        <is>
          <t>kube-controller-manager のスクレイプ対象存在</t>
        </is>
      </c>
      <c r="G77" s="3" t="inlineStr">
        <is>
          <t>job=kube-controller-manager の up メトリクスが存在しない</t>
        </is>
      </c>
      <c r="H77" s="2" t="inlineStr">
        <is>
          <t>15m(15分)</t>
        </is>
      </c>
      <c r="I77" s="3" t="inlineStr"/>
      <c r="J77" s="3" t="inlineStr">
        <is>
          <t>Target disappeared from Prometheus target discovery.</t>
        </is>
      </c>
      <c r="K77" s="3" t="inlineStr">
        <is>
          <t>KubeControllerManager has disappeared from Prometheus target discovery.</t>
        </is>
      </c>
      <c r="L77" s="5" t="inlineStr">
        <is>
          <t>absent(up{job="kube-controller-manager"})</t>
        </is>
      </c>
      <c r="M77" s="6" t="inlineStr">
        <is>
          <t>https://runbooks.prometheus-operator.dev/runbooks/kubernetes/kubecontrollermanagerdown</t>
        </is>
      </c>
      <c r="N77" s="3" t="inlineStr"/>
    </row>
    <row r="78">
      <c r="A78" s="2" t="n">
        <v>77</v>
      </c>
      <c r="B78" s="3" t="inlineStr">
        <is>
          <t>kubernetes-system-controller-manager</t>
        </is>
      </c>
      <c r="C78" s="3" t="inlineStr">
        <is>
          <t>kube-controller-manager</t>
        </is>
      </c>
      <c r="D78" s="3" t="inlineStr">
        <is>
          <t>KubeControllerManagerInstanceUnreachable</t>
        </is>
      </c>
      <c r="E78" s="7" t="inlineStr">
        <is>
          <t>warning</t>
        </is>
      </c>
      <c r="F78" s="3" t="inlineStr">
        <is>
          <t>kube-controller-manager 個別インスタンスの到達性</t>
        </is>
      </c>
      <c r="G78" s="3" t="inlineStr">
        <is>
          <t>up{job=kube-controller-manager} == 0</t>
        </is>
      </c>
      <c r="H78" s="2" t="inlineStr">
        <is>
          <t>15m(15分)</t>
        </is>
      </c>
      <c r="I78" s="3" t="inlineStr"/>
      <c r="J78" s="3" t="inlineStr">
        <is>
          <t>KubeControllerManager instance is unreachable.</t>
        </is>
      </c>
      <c r="K78" s="3" t="inlineStr">
        <is>
          <t>A KubeControllerManager instance has been unreachable for more than 15 minutes.</t>
        </is>
      </c>
      <c r="L78" s="5" t="inlineStr">
        <is>
          <t>up{job="kube-controller-manager"} == 0</t>
        </is>
      </c>
      <c r="M78" s="6" t="inlineStr">
        <is>
          <t>https://runbooks.prometheus-operator.dev/runbooks/kubernetes/kubecontrollermanagerinstanceunreachable</t>
        </is>
      </c>
      <c r="N78" s="3" t="inlineStr"/>
    </row>
    <row r="79">
      <c r="A79" s="2" t="n">
        <v>78</v>
      </c>
      <c r="B79" s="3" t="inlineStr">
        <is>
          <t>kubernetes-system-kube-proxy</t>
        </is>
      </c>
      <c r="C79" s="3" t="inlineStr">
        <is>
          <t>kube-proxy</t>
        </is>
      </c>
      <c r="D79" s="3" t="inlineStr">
        <is>
          <t>KubeProxyDown</t>
        </is>
      </c>
      <c r="E79" s="4" t="inlineStr">
        <is>
          <t>critical</t>
        </is>
      </c>
      <c r="F79" s="3" t="inlineStr">
        <is>
          <t>kube-proxy のスクレイプ対象存在</t>
        </is>
      </c>
      <c r="G79" s="3" t="inlineStr">
        <is>
          <t>job=kube-proxy の up メトリクスが存在しない</t>
        </is>
      </c>
      <c r="H79" s="2" t="inlineStr">
        <is>
          <t>15m(15分)</t>
        </is>
      </c>
      <c r="I79" s="3" t="inlineStr"/>
      <c r="J79" s="3" t="inlineStr">
        <is>
          <t>Target disappeared from Prometheus target discovery.</t>
        </is>
      </c>
      <c r="K79" s="3" t="inlineStr">
        <is>
          <t>KubeProxy has disappeared from Prometheus target discovery.</t>
        </is>
      </c>
      <c r="L79" s="5" t="inlineStr">
        <is>
          <t>absent(up{job="kube-proxy"})</t>
        </is>
      </c>
      <c r="M79" s="6" t="inlineStr">
        <is>
          <t>https://runbooks.prometheus-operator.dev/runbooks/kubernetes/kubeproxydown</t>
        </is>
      </c>
      <c r="N79" s="3" t="inlineStr"/>
    </row>
    <row r="80">
      <c r="A80" s="2" t="n">
        <v>79</v>
      </c>
      <c r="B80" s="3" t="inlineStr">
        <is>
          <t>kubernetes-system-kube-proxy</t>
        </is>
      </c>
      <c r="C80" s="3" t="inlineStr">
        <is>
          <t>kube-proxy</t>
        </is>
      </c>
      <c r="D80" s="3" t="inlineStr">
        <is>
          <t>KubeProxyInstanceUnreachable</t>
        </is>
      </c>
      <c r="E80" s="7" t="inlineStr">
        <is>
          <t>warning</t>
        </is>
      </c>
      <c r="F80" s="3" t="inlineStr">
        <is>
          <t>kube-proxy 個別インスタンスの到達性</t>
        </is>
      </c>
      <c r="G80" s="3" t="inlineStr">
        <is>
          <t>up{job=kube-proxy} == 0</t>
        </is>
      </c>
      <c r="H80" s="2" t="inlineStr">
        <is>
          <t>15m(15分)</t>
        </is>
      </c>
      <c r="I80" s="3" t="inlineStr"/>
      <c r="J80" s="3" t="inlineStr">
        <is>
          <t>KubeProxy instance is unreachable.</t>
        </is>
      </c>
      <c r="K80" s="3" t="inlineStr">
        <is>
          <t>A KubeProxy instance has been unreachable for more than 15 minutes.</t>
        </is>
      </c>
      <c r="L80" s="5" t="inlineStr">
        <is>
          <t>up{job="kube-proxy"} == 0</t>
        </is>
      </c>
      <c r="M80" s="6" t="inlineStr">
        <is>
          <t>https://runbooks.prometheus-operator.dev/runbooks/kubernetes/kubeproxyinstanceunreachable</t>
        </is>
      </c>
      <c r="N80" s="3" t="inlineStr"/>
    </row>
    <row r="81">
      <c r="A81" s="2" t="n">
        <v>80</v>
      </c>
      <c r="B81" s="3" t="inlineStr">
        <is>
          <t>kubernetes-system-kubelet</t>
        </is>
      </c>
      <c r="C81" s="3" t="inlineStr">
        <is>
          <t>kubelet / ノード状態</t>
        </is>
      </c>
      <c r="D81" s="3" t="inlineStr">
        <is>
          <t>KubeNodeNotReady</t>
        </is>
      </c>
      <c r="E81" s="7" t="inlineStr">
        <is>
          <t>warning</t>
        </is>
      </c>
      <c r="F81" s="3" t="inlineStr">
        <is>
          <t>ノードの Ready 状態</t>
        </is>
      </c>
      <c r="G81" s="3" t="inlineStr">
        <is>
          <t>Ready 条件が true でない(NotReady)、かつ unschedulable(cordon)されていないノード</t>
        </is>
      </c>
      <c r="H81" s="2" t="inlineStr">
        <is>
          <t>15m(15分)</t>
        </is>
      </c>
      <c r="I81" s="3" t="inlineStr"/>
      <c r="J81" s="3" t="inlineStr">
        <is>
          <t>Node is not ready.</t>
        </is>
      </c>
      <c r="K81" s="3" t="inlineStr">
        <is>
          <t>{{ $labels.node }} has been unready for more than 15 minutes on cluster {{ $labels.cluster }}.</t>
        </is>
      </c>
      <c r="L81" s="5" t="inlineStr">
        <is>
          <t>kube_node_status_condition{job="kube-state-metrics",condition="Ready",status="true"} == 0
and on (cluster, node)
kube_node_spec_unschedulable{job="kube-state-metrics"} == 0</t>
        </is>
      </c>
      <c r="M81" s="6" t="inlineStr">
        <is>
          <t>https://runbooks.prometheus-operator.dev/runbooks/kubernetes/kubenodenotready</t>
        </is>
      </c>
      <c r="N81" s="3" t="inlineStr"/>
    </row>
    <row r="82">
      <c r="A82" s="2" t="n">
        <v>81</v>
      </c>
      <c r="B82" s="3" t="inlineStr">
        <is>
          <t>kubernetes-system-kubelet</t>
        </is>
      </c>
      <c r="C82" s="3" t="inlineStr">
        <is>
          <t>kubelet / ノード状態</t>
        </is>
      </c>
      <c r="D82" s="3" t="inlineStr">
        <is>
          <t>KubeNodePressure</t>
        </is>
      </c>
      <c r="E82" s="9" t="inlineStr">
        <is>
          <t>info</t>
        </is>
      </c>
      <c r="F82" s="3" t="inlineStr">
        <is>
          <t>ノードのリソース圧迫(Pressure)状態</t>
        </is>
      </c>
      <c r="G82" s="3" t="inlineStr">
        <is>
          <t>MemoryPressure / DiskPressure / PIDPressure のいずれかが true、かつ cordon されていないノード</t>
        </is>
      </c>
      <c r="H82" s="2" t="inlineStr">
        <is>
          <t>10m(10分)</t>
        </is>
      </c>
      <c r="I82" s="3" t="inlineStr"/>
      <c r="J82" s="3" t="inlineStr">
        <is>
          <t>Node has as active Condition.</t>
        </is>
      </c>
      <c r="K82" s="3" t="inlineStr">
        <is>
          <t>{{ $labels.node }} on cluster {{ $labels.cluster }} has active Condition {{ $labels.condition }}. This is caused by resource usage exceeding eviction thresholds.</t>
        </is>
      </c>
      <c r="L82" s="5" t="inlineStr">
        <is>
          <t>kube_node_status_condition{job="kube-state-metrics",condition=~"(MemoryPressure|DiskPressure|PIDPressure)",status="true"} == 1
and on (cluster, node)
kube_node_spec_unschedulable{job="kube-state-metrics"} == 0</t>
        </is>
      </c>
      <c r="M82" s="6" t="inlineStr">
        <is>
          <t>https://runbooks.prometheus-operator.dev/runbooks/kubernetes/kubenodepressure</t>
        </is>
      </c>
      <c r="N82" s="3" t="inlineStr"/>
    </row>
    <row r="83">
      <c r="A83" s="2" t="n">
        <v>82</v>
      </c>
      <c r="B83" s="3" t="inlineStr">
        <is>
          <t>kubernetes-system-kubelet</t>
        </is>
      </c>
      <c r="C83" s="3" t="inlineStr">
        <is>
          <t>kubelet / ノード状態</t>
        </is>
      </c>
      <c r="D83" s="3" t="inlineStr">
        <is>
          <t>KubeNodeUnreachable</t>
        </is>
      </c>
      <c r="E83" s="7" t="inlineStr">
        <is>
          <t>warning</t>
        </is>
      </c>
      <c r="F83" s="3" t="inlineStr">
        <is>
          <t>ノードの到達性(unreachable taint)</t>
        </is>
      </c>
      <c r="G83" s="3" t="inlineStr">
        <is>
          <t>node.kubernetes.io/unreachable:NoSchedule taint が付与されている(Cluster Autoscaler やスポット終了による削除予定ノードは除外)</t>
        </is>
      </c>
      <c r="H83" s="2" t="inlineStr">
        <is>
          <t>15m(15分)</t>
        </is>
      </c>
      <c r="I83" s="3" t="inlineStr"/>
      <c r="J83" s="3" t="inlineStr">
        <is>
          <t>Node is unreachable.</t>
        </is>
      </c>
      <c r="K83" s="3" t="inlineStr">
        <is>
          <t>{{ $labels.node }} is unreachable and some workloads may be rescheduled on cluster {{ $labels.cluster }}.</t>
        </is>
      </c>
      <c r="L83" s="5" t="inlineStr">
        <is>
          <t>(kube_node_spec_taint{job="kube-state-metrics",key="node.kubernetes.io/unreachable",effect="NoSchedule"} unless ignoring(key,value) kube_node_spec_taint{job="kube-state-metrics",key=~"ToBeDeletedByClusterAutoscaler|cloud.google.com/impending-node-termination|aws-node-termination-handler/spot-itn"}) == 1</t>
        </is>
      </c>
      <c r="M83" s="6" t="inlineStr">
        <is>
          <t>https://runbooks.prometheus-operator.dev/runbooks/kubernetes/kubenodeunreachable</t>
        </is>
      </c>
      <c r="N83" s="3" t="inlineStr"/>
    </row>
    <row r="84">
      <c r="A84" s="2" t="n">
        <v>83</v>
      </c>
      <c r="B84" s="3" t="inlineStr">
        <is>
          <t>kubernetes-system-kubelet</t>
        </is>
      </c>
      <c r="C84" s="3" t="inlineStr">
        <is>
          <t>kubelet / ノード状態</t>
        </is>
      </c>
      <c r="D84" s="3" t="inlineStr">
        <is>
          <t>KubeletTooManyPods</t>
        </is>
      </c>
      <c r="E84" s="9" t="inlineStr">
        <is>
          <t>info</t>
        </is>
      </c>
      <c r="F84" s="3" t="inlineStr">
        <is>
          <t>kubelet の Pod 数上限到達</t>
        </is>
      </c>
      <c r="G84" s="3" t="inlineStr">
        <is>
          <t>ノードで稼働中の Pod 数 / ノードの Pod 容量(capacity) が 95% を超過</t>
        </is>
      </c>
      <c r="H84" s="2" t="inlineStr">
        <is>
          <t>15m(15分)</t>
        </is>
      </c>
      <c r="I84" s="3" t="inlineStr"/>
      <c r="J84" s="3" t="inlineStr">
        <is>
          <t>Kubelet is running at capacity.</t>
        </is>
      </c>
      <c r="K84" s="3" t="inlineStr">
        <is>
          <t>Kubelet '{{ $labels.node }}' is running at {{ $value | humanizePercentage }} of its Pod capacity on cluster {{ $labels.cluster }}.</t>
        </is>
      </c>
      <c r="L84" s="5" t="inlineStr">
        <is>
          <t>(
  max by (cluster, instance) (
    kubelet_running_pods{job="kubelet", metrics_path="/metrics"} &gt; 1
  )
  * on (cluster, instance) group_left(node)
  max by (cluster, instance, node) (
    kubelet_node_name{job="kubelet", metrics_path="/metrics"}
  )
)
/ on (cluster, node) group_left()
max by (cluster, node) (
  kube_node_status_capacity{job="kube-state-metrics", resource="pods"} != 1
) &gt; 0.95</t>
        </is>
      </c>
      <c r="M84" s="6" t="inlineStr">
        <is>
          <t>https://runbooks.prometheus-operator.dev/runbooks/kubernetes/kubelettoomanypods</t>
        </is>
      </c>
      <c r="N84" s="3" t="inlineStr"/>
    </row>
    <row r="85">
      <c r="A85" s="2" t="n">
        <v>84</v>
      </c>
      <c r="B85" s="3" t="inlineStr">
        <is>
          <t>kubernetes-system-kubelet</t>
        </is>
      </c>
      <c r="C85" s="3" t="inlineStr">
        <is>
          <t>kubelet / ノード状態</t>
        </is>
      </c>
      <c r="D85" s="3" t="inlineStr">
        <is>
          <t>KubeNodeReadinessFlapping</t>
        </is>
      </c>
      <c r="E85" s="7" t="inlineStr">
        <is>
          <t>warning</t>
        </is>
      </c>
      <c r="F85" s="3" t="inlineStr">
        <is>
          <t>ノード Ready 状態のフラッピング</t>
        </is>
      </c>
      <c r="G85" s="3" t="inlineStr">
        <is>
          <t>直近 15 分間で Ready 条件の変化回数が 2 回を超過、かつ cordon されていないノード</t>
        </is>
      </c>
      <c r="H85" s="2" t="inlineStr">
        <is>
          <t>15m(15分)</t>
        </is>
      </c>
      <c r="I85" s="3" t="inlineStr"/>
      <c r="J85" s="3" t="inlineStr">
        <is>
          <t>Node readiness status is flapping.</t>
        </is>
      </c>
      <c r="K85" s="3" t="inlineStr">
        <is>
          <t>The readiness status of node {{ $labels.node }} has changed {{ $value }} times in the last 15 minutes on cluster {{ $labels.cluster }}.</t>
        </is>
      </c>
      <c r="L85" s="5" t="inlineStr">
        <is>
          <t>sum(changes(kube_node_status_condition{job="kube-state-metrics",status="true",condition="Ready"}[15m])) by (cluster, node) &gt; 2
and on (cluster, node)
kube_node_spec_unschedulable{job="kube-state-metrics"} == 0</t>
        </is>
      </c>
      <c r="M85" s="6" t="inlineStr">
        <is>
          <t>https://runbooks.prometheus-operator.dev/runbooks/kubernetes/kubenodereadinessflapping</t>
        </is>
      </c>
      <c r="N85" s="3" t="inlineStr"/>
    </row>
    <row r="86">
      <c r="A86" s="2" t="n">
        <v>85</v>
      </c>
      <c r="B86" s="3" t="inlineStr">
        <is>
          <t>kubernetes-system-kubelet</t>
        </is>
      </c>
      <c r="C86" s="3" t="inlineStr">
        <is>
          <t>kubelet / ノード状態</t>
        </is>
      </c>
      <c r="D86" s="3" t="inlineStr">
        <is>
          <t>KubeNodeEviction</t>
        </is>
      </c>
      <c r="E86" s="9" t="inlineStr">
        <is>
          <t>info</t>
        </is>
      </c>
      <c r="F86" s="3" t="inlineStr">
        <is>
          <t>ノードによる Pod の evict(退避)</t>
        </is>
      </c>
      <c r="G86" s="3" t="inlineStr">
        <is>
          <t>直近 15 分間の evict 発生レートが 0 より大きい(eviction_signal 別)</t>
        </is>
      </c>
      <c r="H86" s="2" t="inlineStr">
        <is>
          <t>0s(即時)</t>
        </is>
      </c>
      <c r="I86" s="3" t="inlineStr"/>
      <c r="J86" s="3" t="inlineStr">
        <is>
          <t>Node is evicting pods.</t>
        </is>
      </c>
      <c r="K86" s="3" t="inlineStr">
        <is>
          <t>Node {{ $labels.node }} on {{ $labels.cluster }} is evicting Pods due to {{ $labels.eviction_signal }}.  Eviction occurs when eviction thresholds are crossed, typically caused by Pods exceeding RAM/ephemeral-storage limits.</t>
        </is>
      </c>
      <c r="L86" s="5" t="inlineStr">
        <is>
          <t>sum(rate(kubelet_evictions{job="kubelet", metrics_path="/metrics"}[15m])) by (cluster, eviction_signal, instance)
* on (cluster, instance) group_left(node)
max by (cluster, instance, node) (
  kubelet_node_name{job="kubelet", metrics_path="/metrics"}
)
&gt; 0</t>
        </is>
      </c>
      <c r="M86" s="6" t="inlineStr">
        <is>
          <t>https://runbooks.prometheus-operator.dev/runbooks/kubernetes/kubenodeeviction</t>
        </is>
      </c>
      <c r="N86" s="3" t="inlineStr">
        <is>
          <t>for: 0s のため即時発報。</t>
        </is>
      </c>
    </row>
    <row r="87">
      <c r="A87" s="2" t="n">
        <v>86</v>
      </c>
      <c r="B87" s="3" t="inlineStr">
        <is>
          <t>kubernetes-system-kubelet</t>
        </is>
      </c>
      <c r="C87" s="3" t="inlineStr">
        <is>
          <t>kubelet / ノード状態</t>
        </is>
      </c>
      <c r="D87" s="3" t="inlineStr">
        <is>
          <t>KubeletPlegDurationHigh</t>
        </is>
      </c>
      <c r="E87" s="7" t="inlineStr">
        <is>
          <t>warning</t>
        </is>
      </c>
      <c r="F87" s="3" t="inlineStr">
        <is>
          <t>kubelet PLEG(Pod Lifecycle Event Generator)の relist 時間</t>
        </is>
      </c>
      <c r="G87" s="3" t="inlineStr">
        <is>
          <t>PLEG relist 時間の 99 パーセンタイルが 10 秒以上</t>
        </is>
      </c>
      <c r="H87" s="2" t="inlineStr">
        <is>
          <t>5m(5分)</t>
        </is>
      </c>
      <c r="I87" s="3" t="inlineStr"/>
      <c r="J87" s="3" t="inlineStr">
        <is>
          <t>Kubelet Pod Lifecycle Event Generator is taking too long to relist.</t>
        </is>
      </c>
      <c r="K87" s="3" t="inlineStr">
        <is>
          <t>The Kubelet Pod Lifecycle Event Generator has a 99th percentile duration of {{ $value }} seconds on node {{ $labels.node }} on cluster {{ $labels.cluster }}.</t>
        </is>
      </c>
      <c r="L87" s="5" t="inlineStr">
        <is>
          <t>node_quantile:kubelet_pleg_relist_duration_seconds:histogram_quantile{quantile="0.99"} &gt;= 10</t>
        </is>
      </c>
      <c r="M87" s="6" t="inlineStr">
        <is>
          <t>https://runbooks.prometheus-operator.dev/runbooks/kubernetes/kubeletplegdurationhigh</t>
        </is>
      </c>
      <c r="N87" s="3" t="inlineStr"/>
    </row>
    <row r="88">
      <c r="A88" s="2" t="n">
        <v>87</v>
      </c>
      <c r="B88" s="3" t="inlineStr">
        <is>
          <t>kubernetes-system-kubelet</t>
        </is>
      </c>
      <c r="C88" s="3" t="inlineStr">
        <is>
          <t>kubelet / ノード状態</t>
        </is>
      </c>
      <c r="D88" s="3" t="inlineStr">
        <is>
          <t>KubeletPodStartUpLatencyHigh</t>
        </is>
      </c>
      <c r="E88" s="7" t="inlineStr">
        <is>
          <t>warning</t>
        </is>
      </c>
      <c r="F88" s="3" t="inlineStr">
        <is>
          <t>kubelet の Pod 起動レイテンシ</t>
        </is>
      </c>
      <c r="G88" s="3" t="inlineStr">
        <is>
          <t>直近 5 分間の Pod worker 処理時間の 99 パーセンタイルが 60 秒を超過</t>
        </is>
      </c>
      <c r="H88" s="2" t="inlineStr">
        <is>
          <t>15m(15分)</t>
        </is>
      </c>
      <c r="I88" s="3" t="inlineStr"/>
      <c r="J88" s="3" t="inlineStr">
        <is>
          <t>Kubelet Pod startup latency is too high.</t>
        </is>
      </c>
      <c r="K88" s="3" t="inlineStr">
        <is>
          <t>Kubelet Pod startup 99th percentile latency is {{ $value }} seconds on node {{ $labels.node }} on cluster {{ $labels.cluster }}.</t>
        </is>
      </c>
      <c r="L88" s="5" t="inlineStr">
        <is>
          <t>histogram_quantile(0.99,
  sum by (cluster, instance, le) (
    topk by (cluster, instance, le, operation_type) (1,
      rate(kubelet_pod_worker_duration_seconds_bucket{job="kubelet", metrics_path="/metrics"}[5m])
    )
  )
)
* on (cluster, instance) group_left(node)
topk by (cluster, instance, node) (1,
  kubelet_node_name{job="kubelet", metrics_path="/metrics"}
)
&gt; 60</t>
        </is>
      </c>
      <c r="M88" s="6" t="inlineStr">
        <is>
          <t>https://runbooks.prometheus-operator.dev/runbooks/kubernetes/kubeletpodstartuplatencyhigh</t>
        </is>
      </c>
      <c r="N88" s="3" t="inlineStr"/>
    </row>
    <row r="89">
      <c r="A89" s="2" t="n">
        <v>88</v>
      </c>
      <c r="B89" s="3" t="inlineStr">
        <is>
          <t>kubernetes-system-kubelet</t>
        </is>
      </c>
      <c r="C89" s="3" t="inlineStr">
        <is>
          <t>kubelet / ノード状態</t>
        </is>
      </c>
      <c r="D89" s="3" t="inlineStr">
        <is>
          <t>KubeletClientCertificateExpiration</t>
        </is>
      </c>
      <c r="E89" s="7" t="inlineStr">
        <is>
          <t>warning</t>
        </is>
      </c>
      <c r="F89" s="3" t="inlineStr">
        <is>
          <t>kubelet クライアント証明書の有効期限</t>
        </is>
      </c>
      <c r="G89" s="3" t="inlineStr">
        <is>
          <t>残存有効期間が 604800 秒(7 日)未満</t>
        </is>
      </c>
      <c r="H89" s="2" t="inlineStr">
        <is>
          <t>即時(for 未設定)</t>
        </is>
      </c>
      <c r="I89" s="3" t="inlineStr"/>
      <c r="J89" s="3" t="inlineStr">
        <is>
          <t>Kubelet client certificate is about to expire.</t>
        </is>
      </c>
      <c r="K89" s="3" t="inlineStr">
        <is>
          <t>Client certificate for Kubelet on node {{ $labels.node }} expires in {{ $value | humanizeDuration }} on cluster {{ $labels.cluster }}.</t>
        </is>
      </c>
      <c r="L89" s="5" t="inlineStr">
        <is>
          <t>kubelet_certificate_manager_client_ttl_seconds &lt; 604800</t>
        </is>
      </c>
      <c r="M89" s="6" t="inlineStr">
        <is>
          <t>https://runbooks.prometheus-operator.dev/runbooks/kubernetes/kubeletclientcertificateexpiration</t>
        </is>
      </c>
      <c r="N89" s="3" t="inlineStr">
        <is>
          <t>for 未設定のため条件成立と同時に発報する。同名アラートが複数段階(severity 別)で定義されている。</t>
        </is>
      </c>
    </row>
    <row r="90">
      <c r="A90" s="2" t="n">
        <v>89</v>
      </c>
      <c r="B90" s="3" t="inlineStr">
        <is>
          <t>kubernetes-system-kubelet</t>
        </is>
      </c>
      <c r="C90" s="3" t="inlineStr">
        <is>
          <t>kubelet / ノード状態</t>
        </is>
      </c>
      <c r="D90" s="3" t="inlineStr">
        <is>
          <t>KubeletClientCertificateExpiration</t>
        </is>
      </c>
      <c r="E90" s="4" t="inlineStr">
        <is>
          <t>critical</t>
        </is>
      </c>
      <c r="F90" s="3" t="inlineStr">
        <is>
          <t>kubelet クライアント証明書の有効期限</t>
        </is>
      </c>
      <c r="G90" s="3" t="inlineStr">
        <is>
          <t>残存有効期間が 86400 秒(24 時間)未満</t>
        </is>
      </c>
      <c r="H90" s="2" t="inlineStr">
        <is>
          <t>即時(for 未設定)</t>
        </is>
      </c>
      <c r="I90" s="3" t="inlineStr"/>
      <c r="J90" s="3" t="inlineStr">
        <is>
          <t>Kubelet client certificate is about to expire.</t>
        </is>
      </c>
      <c r="K90" s="3" t="inlineStr">
        <is>
          <t>Client certificate for Kubelet on node {{ $labels.node }} expires in {{ $value | humanizeDuration }} on cluster {{ $labels.cluster }}.</t>
        </is>
      </c>
      <c r="L90" s="5" t="inlineStr">
        <is>
          <t>kubelet_certificate_manager_client_ttl_seconds &lt; 86400</t>
        </is>
      </c>
      <c r="M90" s="6" t="inlineStr">
        <is>
          <t>https://runbooks.prometheus-operator.dev/runbooks/kubernetes/kubeletclientcertificateexpiration</t>
        </is>
      </c>
      <c r="N90" s="3" t="inlineStr">
        <is>
          <t>for 未設定のため条件成立と同時に発報する。同名アラートが複数段階(severity 別)で定義されている。</t>
        </is>
      </c>
    </row>
    <row r="91">
      <c r="A91" s="2" t="n">
        <v>90</v>
      </c>
      <c r="B91" s="3" t="inlineStr">
        <is>
          <t>kubernetes-system-kubelet</t>
        </is>
      </c>
      <c r="C91" s="3" t="inlineStr">
        <is>
          <t>kubelet / ノード状態</t>
        </is>
      </c>
      <c r="D91" s="3" t="inlineStr">
        <is>
          <t>KubeletServerCertificateExpiration</t>
        </is>
      </c>
      <c r="E91" s="7" t="inlineStr">
        <is>
          <t>warning</t>
        </is>
      </c>
      <c r="F91" s="3" t="inlineStr">
        <is>
          <t>kubelet サーバ証明書の有効期限</t>
        </is>
      </c>
      <c r="G91" s="3" t="inlineStr">
        <is>
          <t>残存有効期間が 604800 秒(7 日)未満</t>
        </is>
      </c>
      <c r="H91" s="2" t="inlineStr">
        <is>
          <t>即時(for 未設定)</t>
        </is>
      </c>
      <c r="I91" s="3" t="inlineStr"/>
      <c r="J91" s="3" t="inlineStr">
        <is>
          <t>Kubelet server certificate is about to expire.</t>
        </is>
      </c>
      <c r="K91" s="3" t="inlineStr">
        <is>
          <t>Server certificate for Kubelet on node {{ $labels.node }} expires in {{ $value | humanizeDuration }} on cluster {{ $labels.cluster }}.</t>
        </is>
      </c>
      <c r="L91" s="5" t="inlineStr">
        <is>
          <t>kubelet_certificate_manager_server_ttl_seconds &lt; 604800</t>
        </is>
      </c>
      <c r="M91" s="6" t="inlineStr">
        <is>
          <t>https://runbooks.prometheus-operator.dev/runbooks/kubernetes/kubeletservercertificateexpiration</t>
        </is>
      </c>
      <c r="N91" s="3" t="inlineStr">
        <is>
          <t>for 未設定のため条件成立と同時に発報する。同名アラートが複数段階(severity 別)で定義されている。</t>
        </is>
      </c>
    </row>
    <row r="92">
      <c r="A92" s="2" t="n">
        <v>91</v>
      </c>
      <c r="B92" s="3" t="inlineStr">
        <is>
          <t>kubernetes-system-kubelet</t>
        </is>
      </c>
      <c r="C92" s="3" t="inlineStr">
        <is>
          <t>kubelet / ノード状態</t>
        </is>
      </c>
      <c r="D92" s="3" t="inlineStr">
        <is>
          <t>KubeletServerCertificateExpiration</t>
        </is>
      </c>
      <c r="E92" s="4" t="inlineStr">
        <is>
          <t>critical</t>
        </is>
      </c>
      <c r="F92" s="3" t="inlineStr">
        <is>
          <t>kubelet サーバ証明書の有効期限</t>
        </is>
      </c>
      <c r="G92" s="3" t="inlineStr">
        <is>
          <t>残存有効期間が 86400 秒(24 時間)未満</t>
        </is>
      </c>
      <c r="H92" s="2" t="inlineStr">
        <is>
          <t>即時(for 未設定)</t>
        </is>
      </c>
      <c r="I92" s="3" t="inlineStr"/>
      <c r="J92" s="3" t="inlineStr">
        <is>
          <t>Kubelet server certificate is about to expire.</t>
        </is>
      </c>
      <c r="K92" s="3" t="inlineStr">
        <is>
          <t>Server certificate for Kubelet on node {{ $labels.node }} expires in {{ $value | humanizeDuration }} on cluster {{ $labels.cluster }}.</t>
        </is>
      </c>
      <c r="L92" s="5" t="inlineStr">
        <is>
          <t>kubelet_certificate_manager_server_ttl_seconds &lt; 86400</t>
        </is>
      </c>
      <c r="M92" s="6" t="inlineStr">
        <is>
          <t>https://runbooks.prometheus-operator.dev/runbooks/kubernetes/kubeletservercertificateexpiration</t>
        </is>
      </c>
      <c r="N92" s="3" t="inlineStr">
        <is>
          <t>for 未設定のため条件成立と同時に発報する。同名アラートが複数段階(severity 別)で定義されている。</t>
        </is>
      </c>
    </row>
    <row r="93">
      <c r="A93" s="2" t="n">
        <v>92</v>
      </c>
      <c r="B93" s="3" t="inlineStr">
        <is>
          <t>kubernetes-system-kubelet</t>
        </is>
      </c>
      <c r="C93" s="3" t="inlineStr">
        <is>
          <t>kubelet / ノード状態</t>
        </is>
      </c>
      <c r="D93" s="3" t="inlineStr">
        <is>
          <t>KubeletClientCertificateRenewalErrors</t>
        </is>
      </c>
      <c r="E93" s="7" t="inlineStr">
        <is>
          <t>warning</t>
        </is>
      </c>
      <c r="F93" s="3" t="inlineStr">
        <is>
          <t>kubelet クライアント証明書の更新失敗</t>
        </is>
      </c>
      <c r="G93" s="3" t="inlineStr">
        <is>
          <t>直近 5 分間で証明書更新エラーの増分が 0 より大きい</t>
        </is>
      </c>
      <c r="H93" s="2" t="inlineStr">
        <is>
          <t>15m(15分)</t>
        </is>
      </c>
      <c r="I93" s="3" t="inlineStr"/>
      <c r="J93" s="3" t="inlineStr">
        <is>
          <t>Kubelet has failed to renew its client certificate.</t>
        </is>
      </c>
      <c r="K93" s="3" t="inlineStr">
        <is>
          <t>Kubelet on node {{ $labels.node }} has failed to renew its client certificate ({{ $value | humanize }} errors in the last 5 minutes) on cluster {{ $labels.cluster }}.</t>
        </is>
      </c>
      <c r="L93" s="5" t="inlineStr">
        <is>
          <t>increase(kubelet_certificate_manager_client_expiration_renew_errors[5m]) &gt; 0</t>
        </is>
      </c>
      <c r="M93" s="6" t="inlineStr">
        <is>
          <t>https://runbooks.prometheus-operator.dev/runbooks/kubernetes/kubeletclientcertificaterenewalerrors</t>
        </is>
      </c>
      <c r="N93" s="3" t="inlineStr"/>
    </row>
    <row r="94">
      <c r="A94" s="2" t="n">
        <v>93</v>
      </c>
      <c r="B94" s="3" t="inlineStr">
        <is>
          <t>kubernetes-system-kubelet</t>
        </is>
      </c>
      <c r="C94" s="3" t="inlineStr">
        <is>
          <t>kubelet / ノード状態</t>
        </is>
      </c>
      <c r="D94" s="3" t="inlineStr">
        <is>
          <t>KubeletServerCertificateRenewalErrors</t>
        </is>
      </c>
      <c r="E94" s="7" t="inlineStr">
        <is>
          <t>warning</t>
        </is>
      </c>
      <c r="F94" s="3" t="inlineStr">
        <is>
          <t>kubelet サーバ証明書の更新失敗</t>
        </is>
      </c>
      <c r="G94" s="3" t="inlineStr">
        <is>
          <t>直近 5 分間で証明書更新エラーの増分が 0 より大きい</t>
        </is>
      </c>
      <c r="H94" s="2" t="inlineStr">
        <is>
          <t>15m(15分)</t>
        </is>
      </c>
      <c r="I94" s="3" t="inlineStr"/>
      <c r="J94" s="3" t="inlineStr">
        <is>
          <t>Kubelet has failed to renew its server certificate.</t>
        </is>
      </c>
      <c r="K94" s="3" t="inlineStr">
        <is>
          <t>Kubelet on node {{ $labels.node }} has failed to renew its server certificate ({{ $value | humanize }} errors in the last 5 minutes) on cluster {{ $labels.cluster }}.</t>
        </is>
      </c>
      <c r="L94" s="5" t="inlineStr">
        <is>
          <t>increase(kubelet_server_expiration_renew_errors[5m]) &gt; 0</t>
        </is>
      </c>
      <c r="M94" s="6" t="inlineStr">
        <is>
          <t>https://runbooks.prometheus-operator.dev/runbooks/kubernetes/kubeletservercertificaterenewalerrors</t>
        </is>
      </c>
      <c r="N94" s="3" t="inlineStr"/>
    </row>
    <row r="95">
      <c r="A95" s="2" t="n">
        <v>94</v>
      </c>
      <c r="B95" s="3" t="inlineStr">
        <is>
          <t>kubernetes-system-kubelet</t>
        </is>
      </c>
      <c r="C95" s="3" t="inlineStr">
        <is>
          <t>kubelet / ノード状態</t>
        </is>
      </c>
      <c r="D95" s="3" t="inlineStr">
        <is>
          <t>KubeletInstanceUnreachable</t>
        </is>
      </c>
      <c r="E95" s="7" t="inlineStr">
        <is>
          <t>warning</t>
        </is>
      </c>
      <c r="F95" s="3" t="inlineStr">
        <is>
          <t>kubelet 個別インスタンスの到達性</t>
        </is>
      </c>
      <c r="G95" s="3" t="inlineStr">
        <is>
          <t>up{job=kubelet} == 0</t>
        </is>
      </c>
      <c r="H95" s="2" t="inlineStr">
        <is>
          <t>15m(15分)</t>
        </is>
      </c>
      <c r="I95" s="3" t="inlineStr"/>
      <c r="J95" s="3" t="inlineStr">
        <is>
          <t>Kubelet instance is unreachable.</t>
        </is>
      </c>
      <c r="K95" s="3" t="inlineStr">
        <is>
          <t>A Kubelet instance has been unreachable for more than 15 minutes.</t>
        </is>
      </c>
      <c r="L95" s="5" t="inlineStr">
        <is>
          <t>up{job="kubelet", metrics_path="/metrics"} == 0</t>
        </is>
      </c>
      <c r="M95" s="6" t="inlineStr">
        <is>
          <t>https://runbooks.prometheus-operator.dev/runbooks/kubernetes/kubeletinstanceunreachable</t>
        </is>
      </c>
      <c r="N95" s="3" t="inlineStr"/>
    </row>
    <row r="96">
      <c r="A96" s="2" t="n">
        <v>95</v>
      </c>
      <c r="B96" s="3" t="inlineStr">
        <is>
          <t>kubernetes-system-kubelet</t>
        </is>
      </c>
      <c r="C96" s="3" t="inlineStr">
        <is>
          <t>kubelet / ノード状態</t>
        </is>
      </c>
      <c r="D96" s="3" t="inlineStr">
        <is>
          <t>KubeletDown</t>
        </is>
      </c>
      <c r="E96" s="4" t="inlineStr">
        <is>
          <t>critical</t>
        </is>
      </c>
      <c r="F96" s="3" t="inlineStr">
        <is>
          <t>kubelet のスクレイプ対象存在</t>
        </is>
      </c>
      <c r="G96" s="3" t="inlineStr">
        <is>
          <t>ノードが存在する(kube_node_info)のに、up == 1 の kubelet ターゲットが 1 つも無い</t>
        </is>
      </c>
      <c r="H96" s="2" t="inlineStr">
        <is>
          <t>15m(15分)</t>
        </is>
      </c>
      <c r="I96" s="3" t="inlineStr"/>
      <c r="J96" s="3" t="inlineStr">
        <is>
          <t>Target disappeared from Prometheus target discovery.</t>
        </is>
      </c>
      <c r="K96" s="3" t="inlineStr">
        <is>
          <t>Kubelet has disappeared from Prometheus target discovery on cluster {{ $labels.cluster }}.</t>
        </is>
      </c>
      <c r="L96" s="5" t="inlineStr">
        <is>
          <t>count by (cluster) (kube_node_info{job="kube-state-metrics"})
unless on (cluster)
count by (cluster) (up{job="kubelet", metrics_path="/metrics"} == 1)</t>
        </is>
      </c>
      <c r="M96" s="6" t="inlineStr">
        <is>
          <t>https://runbooks.prometheus-operator.dev/runbooks/kubernetes/kubeletdown</t>
        </is>
      </c>
      <c r="N96" s="3" t="inlineStr"/>
    </row>
    <row r="97">
      <c r="A97" s="2" t="n">
        <v>96</v>
      </c>
      <c r="B97" s="3" t="inlineStr">
        <is>
          <t>kubernetes-system-scheduler</t>
        </is>
      </c>
      <c r="C97" s="3" t="inlineStr">
        <is>
          <t>kube-scheduler</t>
        </is>
      </c>
      <c r="D97" s="3" t="inlineStr">
        <is>
          <t>KubeSchedulerDown</t>
        </is>
      </c>
      <c r="E97" s="4" t="inlineStr">
        <is>
          <t>critical</t>
        </is>
      </c>
      <c r="F97" s="3" t="inlineStr">
        <is>
          <t>kube-scheduler のスクレイプ対象存在</t>
        </is>
      </c>
      <c r="G97" s="3" t="inlineStr">
        <is>
          <t>job=kube-scheduler の up メトリクスが存在しない</t>
        </is>
      </c>
      <c r="H97" s="2" t="inlineStr">
        <is>
          <t>15m(15分)</t>
        </is>
      </c>
      <c r="I97" s="3" t="inlineStr"/>
      <c r="J97" s="3" t="inlineStr">
        <is>
          <t>Target disappeared from Prometheus target discovery.</t>
        </is>
      </c>
      <c r="K97" s="3" t="inlineStr">
        <is>
          <t>KubeScheduler has disappeared from Prometheus target discovery.</t>
        </is>
      </c>
      <c r="L97" s="5" t="inlineStr">
        <is>
          <t>absent(up{job="kube-scheduler"})</t>
        </is>
      </c>
      <c r="M97" s="6" t="inlineStr">
        <is>
          <t>https://runbooks.prometheus-operator.dev/runbooks/kubernetes/kubeschedulerdown</t>
        </is>
      </c>
      <c r="N97" s="3" t="inlineStr"/>
    </row>
    <row r="98">
      <c r="A98" s="2" t="n">
        <v>97</v>
      </c>
      <c r="B98" s="3" t="inlineStr">
        <is>
          <t>kubernetes-system-scheduler</t>
        </is>
      </c>
      <c r="C98" s="3" t="inlineStr">
        <is>
          <t>kube-scheduler</t>
        </is>
      </c>
      <c r="D98" s="3" t="inlineStr">
        <is>
          <t>KubeSchedulerInstanceUnreachable</t>
        </is>
      </c>
      <c r="E98" s="7" t="inlineStr">
        <is>
          <t>warning</t>
        </is>
      </c>
      <c r="F98" s="3" t="inlineStr">
        <is>
          <t>kube-scheduler 個別インスタンスの到達性</t>
        </is>
      </c>
      <c r="G98" s="3" t="inlineStr">
        <is>
          <t>up{job=kube-scheduler} == 0</t>
        </is>
      </c>
      <c r="H98" s="2" t="inlineStr">
        <is>
          <t>15m(15分)</t>
        </is>
      </c>
      <c r="I98" s="3" t="inlineStr"/>
      <c r="J98" s="3" t="inlineStr">
        <is>
          <t>KubeScheduler instance is unreachable.</t>
        </is>
      </c>
      <c r="K98" s="3" t="inlineStr">
        <is>
          <t>A KubeScheduler instance has been unreachable for more than 15 minutes.</t>
        </is>
      </c>
      <c r="L98" s="5" t="inlineStr">
        <is>
          <t>up{job="kube-scheduler"} == 0</t>
        </is>
      </c>
      <c r="M98" s="6" t="inlineStr">
        <is>
          <t>https://runbooks.prometheus-operator.dev/runbooks/kubernetes/kubeschedulerinstanceunreachable</t>
        </is>
      </c>
      <c r="N98" s="3" t="inlineStr"/>
    </row>
    <row r="99">
      <c r="A99" s="2" t="n">
        <v>98</v>
      </c>
      <c r="B99" s="3" t="inlineStr">
        <is>
          <t>node-exporter</t>
        </is>
      </c>
      <c r="C99" s="3" t="inlineStr">
        <is>
          <t>ノード(OS/ハードウェア)</t>
        </is>
      </c>
      <c r="D99" s="3" t="inlineStr">
        <is>
          <t>NodeFilesystemSpaceFillingUp</t>
        </is>
      </c>
      <c r="E99" s="7" t="inlineStr">
        <is>
          <t>warning</t>
        </is>
      </c>
      <c r="F99" s="3" t="inlineStr">
        <is>
          <t>ノード ファイルシステムの空き容量(枯渇予測)</t>
        </is>
      </c>
      <c r="G99" s="3" t="inlineStr">
        <is>
          <t>空き容量が 15% 未満、かつ直近 6 時間の傾向から 24 時間以内に空き容量が 0 になると線形予測</t>
        </is>
      </c>
      <c r="H99" s="2" t="inlineStr">
        <is>
          <t>1h(1時間)</t>
        </is>
      </c>
      <c r="I99" s="3" t="inlineStr"/>
      <c r="J99" s="3" t="inlineStr">
        <is>
          <t>Filesystem is predicted to run out of space within the next 24 hours.</t>
        </is>
      </c>
      <c r="K99" s="3" t="inlineStr">
        <is>
          <t>Filesystem on {{ $labels.device }}, mounted on {{ $labels.mountpoint }}, at {{ $labels.instance }} has only {{ printf "%.2f" $value }}% available space left and is filling up.</t>
        </is>
      </c>
      <c r="L99" s="5" t="inlineStr">
        <is>
          <t>(
  node_filesystem_avail_bytes{job="node-exporter",fstype!="",mountpoint!=""} / node_filesystem_size_bytes{job="node-exporter",fstype!="",mountpoint!=""} * 100 &lt; 15
and
  predict_linear(node_filesystem_avail_bytes{job="node-exporter",fstype!="",mountpoint!=""}[6h], 24*60*60) &lt; 0
and
  node_filesystem_readonly{job="node-exporter",fstype!="",mountpoint!=""} == 0
)</t>
        </is>
      </c>
      <c r="M99" s="6" t="inlineStr">
        <is>
          <t>https://runbooks.prometheus-operator.dev/runbooks/node/nodefilesystemspacefillingup</t>
        </is>
      </c>
      <c r="N99" s="3" t="inlineStr">
        <is>
          <t>読み取り専用でマウントされたファイルシステムは除外。同名アラートが複数段階(severity 別)で定義されている。</t>
        </is>
      </c>
    </row>
    <row r="100">
      <c r="A100" s="2" t="n">
        <v>99</v>
      </c>
      <c r="B100" s="3" t="inlineStr">
        <is>
          <t>node-exporter</t>
        </is>
      </c>
      <c r="C100" s="3" t="inlineStr">
        <is>
          <t>ノード(OS/ハードウェア)</t>
        </is>
      </c>
      <c r="D100" s="3" t="inlineStr">
        <is>
          <t>NodeFilesystemSpaceFillingUp</t>
        </is>
      </c>
      <c r="E100" s="4" t="inlineStr">
        <is>
          <t>critical</t>
        </is>
      </c>
      <c r="F100" s="3" t="inlineStr">
        <is>
          <t>ノード ファイルシステムの空き容量(枯渇予測)</t>
        </is>
      </c>
      <c r="G100" s="3" t="inlineStr">
        <is>
          <t>空き容量が 10% 未満、かつ直近 6 時間の傾向から 4 時間以内に空き容量が 0 になると線形予測</t>
        </is>
      </c>
      <c r="H100" s="2" t="inlineStr">
        <is>
          <t>1h(1時間)</t>
        </is>
      </c>
      <c r="I100" s="3" t="inlineStr"/>
      <c r="J100" s="3" t="inlineStr">
        <is>
          <t>Filesystem is predicted to run out of space within the next 4 hours.</t>
        </is>
      </c>
      <c r="K100" s="3" t="inlineStr">
        <is>
          <t>Filesystem on {{ $labels.device }}, mounted on {{ $labels.mountpoint }}, at {{ $labels.instance }} has only {{ printf "%.2f" $value }}% available space left and is filling up fast.</t>
        </is>
      </c>
      <c r="L100" s="5" t="inlineStr">
        <is>
          <t>(
  node_filesystem_avail_bytes{job="node-exporter",fstype!="",mountpoint!=""} / node_filesystem_size_bytes{job="node-exporter",fstype!="",mountpoint!=""} * 100 &lt; 10
and
  predict_linear(node_filesystem_avail_bytes{job="node-exporter",fstype!="",mountpoint!=""}[6h], 4*60*60) &lt; 0
and
  node_filesystem_readonly{job="node-exporter",fstype!="",mountpoint!=""} == 0
)</t>
        </is>
      </c>
      <c r="M100" s="6" t="inlineStr">
        <is>
          <t>https://runbooks.prometheus-operator.dev/runbooks/node/nodefilesystemspacefillingup</t>
        </is>
      </c>
      <c r="N100" s="3" t="inlineStr">
        <is>
          <t>読み取り専用でマウントされたファイルシステムは除外。同名アラートが複数段階(severity 別)で定義されている。</t>
        </is>
      </c>
    </row>
    <row r="101">
      <c r="A101" s="2" t="n">
        <v>100</v>
      </c>
      <c r="B101" s="3" t="inlineStr">
        <is>
          <t>node-exporter</t>
        </is>
      </c>
      <c r="C101" s="3" t="inlineStr">
        <is>
          <t>ノード(OS/ハードウェア)</t>
        </is>
      </c>
      <c r="D101" s="3" t="inlineStr">
        <is>
          <t>NodeFilesystemAlmostOutOfSpace</t>
        </is>
      </c>
      <c r="E101" s="7" t="inlineStr">
        <is>
          <t>warning</t>
        </is>
      </c>
      <c r="F101" s="3" t="inlineStr">
        <is>
          <t>ノード ファイルシステムの空き容量</t>
        </is>
      </c>
      <c r="G101" s="3" t="inlineStr">
        <is>
          <t>空き容量が 5% 未満</t>
        </is>
      </c>
      <c r="H101" s="2" t="inlineStr">
        <is>
          <t>30m(30分)</t>
        </is>
      </c>
      <c r="I101" s="3" t="inlineStr"/>
      <c r="J101" s="3" t="inlineStr">
        <is>
          <t>Filesystem has less than 5% space left.</t>
        </is>
      </c>
      <c r="K101" s="3" t="inlineStr">
        <is>
          <t>Filesystem on {{ $labels.device }}, mounted on {{ $labels.mountpoint }}, at {{ $labels.instance }} has only {{ printf "%.2f" $value }}% available space left.</t>
        </is>
      </c>
      <c r="L101" s="5" t="inlineStr">
        <is>
          <t>(
  node_filesystem_avail_bytes{job="node-exporter",fstype!="",mountpoint!=""} / node_filesystem_size_bytes{job="node-exporter",fstype!="",mountpoint!=""} * 100 &lt; 5
and
  node_filesystem_readonly{job="node-exporter",fstype!="",mountpoint!=""} == 0
)</t>
        </is>
      </c>
      <c r="M101" s="6" t="inlineStr">
        <is>
          <t>https://runbooks.prometheus-operator.dev/runbooks/node/nodefilesystemalmostoutofspace</t>
        </is>
      </c>
      <c r="N101" s="3" t="inlineStr">
        <is>
          <t>読み取り専用でマウントされたファイルシステムは除外。同名アラートが複数段階(severity 別)で定義されている。</t>
        </is>
      </c>
    </row>
    <row r="102">
      <c r="A102" s="2" t="n">
        <v>101</v>
      </c>
      <c r="B102" s="3" t="inlineStr">
        <is>
          <t>node-exporter</t>
        </is>
      </c>
      <c r="C102" s="3" t="inlineStr">
        <is>
          <t>ノード(OS/ハードウェア)</t>
        </is>
      </c>
      <c r="D102" s="3" t="inlineStr">
        <is>
          <t>NodeFilesystemAlmostOutOfSpace</t>
        </is>
      </c>
      <c r="E102" s="4" t="inlineStr">
        <is>
          <t>critical</t>
        </is>
      </c>
      <c r="F102" s="3" t="inlineStr">
        <is>
          <t>ノード ファイルシステムの空き容量</t>
        </is>
      </c>
      <c r="G102" s="3" t="inlineStr">
        <is>
          <t>空き容量が 3% 未満</t>
        </is>
      </c>
      <c r="H102" s="2" t="inlineStr">
        <is>
          <t>30m(30分)</t>
        </is>
      </c>
      <c r="I102" s="3" t="inlineStr"/>
      <c r="J102" s="3" t="inlineStr">
        <is>
          <t>Filesystem has less than 3% space left.</t>
        </is>
      </c>
      <c r="K102" s="3" t="inlineStr">
        <is>
          <t>Filesystem on {{ $labels.device }}, mounted on {{ $labels.mountpoint }}, at {{ $labels.instance }} has only {{ printf "%.2f" $value }}% available space left.</t>
        </is>
      </c>
      <c r="L102" s="5" t="inlineStr">
        <is>
          <t>(
  node_filesystem_avail_bytes{job="node-exporter",fstype!="",mountpoint!=""} / node_filesystem_size_bytes{job="node-exporter",fstype!="",mountpoint!=""} * 100 &lt; 3
and
  node_filesystem_readonly{job="node-exporter",fstype!="",mountpoint!=""} == 0
)</t>
        </is>
      </c>
      <c r="M102" s="6" t="inlineStr">
        <is>
          <t>https://runbooks.prometheus-operator.dev/runbooks/node/nodefilesystemalmostoutofspace</t>
        </is>
      </c>
      <c r="N102" s="3" t="inlineStr">
        <is>
          <t>読み取り専用でマウントされたファイルシステムは除外。同名アラートが複数段階(severity 別)で定義されている。</t>
        </is>
      </c>
    </row>
    <row r="103">
      <c r="A103" s="2" t="n">
        <v>102</v>
      </c>
      <c r="B103" s="3" t="inlineStr">
        <is>
          <t>node-exporter</t>
        </is>
      </c>
      <c r="C103" s="3" t="inlineStr">
        <is>
          <t>ノード(OS/ハードウェア)</t>
        </is>
      </c>
      <c r="D103" s="3" t="inlineStr">
        <is>
          <t>NodeFilesystemFilesFillingUp</t>
        </is>
      </c>
      <c r="E103" s="7" t="inlineStr">
        <is>
          <t>warning</t>
        </is>
      </c>
      <c r="F103" s="3" t="inlineStr">
        <is>
          <t>ノード ファイルシステムの空き inode(枯渇予測)</t>
        </is>
      </c>
      <c r="G103" s="3" t="inlineStr">
        <is>
          <t>空き inode が 40% 未満、かつ直近 6 時間の傾向から 24 時間以内に空き inode が 0 になると線形予測</t>
        </is>
      </c>
      <c r="H103" s="2" t="inlineStr">
        <is>
          <t>1h(1時間)</t>
        </is>
      </c>
      <c r="I103" s="3" t="inlineStr"/>
      <c r="J103" s="3" t="inlineStr">
        <is>
          <t>Filesystem is predicted to run out of inodes within the next 24 hours.</t>
        </is>
      </c>
      <c r="K103" s="3" t="inlineStr">
        <is>
          <t>Filesystem on {{ $labels.device }}, mounted on {{ $labels.mountpoint }}, at {{ $labels.instance }} has only {{ printf "%.2f" $value }}% available inodes left and is filling up.</t>
        </is>
      </c>
      <c r="L103" s="5" t="inlineStr">
        <is>
          <t>(
  node_filesystem_files_free{job="node-exporter",fstype!="",mountpoint!=""} / node_filesystem_files{job="node-exporter",fstype!="",mountpoint!=""} * 100 &lt; 40
and
  predict_linear(node_filesystem_files_free{job="node-exporter",fstype!="",mountpoint!=""}[6h], 24*60*60) &lt; 0
and
  node_filesystem_readonly{job="node-exporter",fstype!="",mountpoint!=""} == 0
)</t>
        </is>
      </c>
      <c r="M103" s="6" t="inlineStr">
        <is>
          <t>https://runbooks.prometheus-operator.dev/runbooks/node/nodefilesystemfilesfillingup</t>
        </is>
      </c>
      <c r="N103" s="3" t="inlineStr">
        <is>
          <t>読み取り専用でマウントされたファイルシステムは除外。同名アラートが複数段階(severity 別)で定義されている。</t>
        </is>
      </c>
    </row>
    <row r="104">
      <c r="A104" s="2" t="n">
        <v>103</v>
      </c>
      <c r="B104" s="3" t="inlineStr">
        <is>
          <t>node-exporter</t>
        </is>
      </c>
      <c r="C104" s="3" t="inlineStr">
        <is>
          <t>ノード(OS/ハードウェア)</t>
        </is>
      </c>
      <c r="D104" s="3" t="inlineStr">
        <is>
          <t>NodeFilesystemFilesFillingUp</t>
        </is>
      </c>
      <c r="E104" s="4" t="inlineStr">
        <is>
          <t>critical</t>
        </is>
      </c>
      <c r="F104" s="3" t="inlineStr">
        <is>
          <t>ノード ファイルシステムの空き inode(枯渇予測)</t>
        </is>
      </c>
      <c r="G104" s="3" t="inlineStr">
        <is>
          <t>空き inode が 20% 未満、かつ直近 6 時間の傾向から 4 時間以内に空き inode が 0 になると線形予測</t>
        </is>
      </c>
      <c r="H104" s="2" t="inlineStr">
        <is>
          <t>1h(1時間)</t>
        </is>
      </c>
      <c r="I104" s="3" t="inlineStr"/>
      <c r="J104" s="3" t="inlineStr">
        <is>
          <t>Filesystem is predicted to run out of inodes within the next 4 hours.</t>
        </is>
      </c>
      <c r="K104" s="3" t="inlineStr">
        <is>
          <t>Filesystem on {{ $labels.device }}, mounted on {{ $labels.mountpoint }}, at {{ $labels.instance }} has only {{ printf "%.2f" $value }}% available inodes left and is filling up fast.</t>
        </is>
      </c>
      <c r="L104" s="5" t="inlineStr">
        <is>
          <t>(
  node_filesystem_files_free{job="node-exporter",fstype!="",mountpoint!=""} / node_filesystem_files{job="node-exporter",fstype!="",mountpoint!=""} * 100 &lt; 20
and
  predict_linear(node_filesystem_files_free{job="node-exporter",fstype!="",mountpoint!=""}[6h], 4*60*60) &lt; 0
and
  node_filesystem_readonly{job="node-exporter",fstype!="",mountpoint!=""} == 0
)</t>
        </is>
      </c>
      <c r="M104" s="6" t="inlineStr">
        <is>
          <t>https://runbooks.prometheus-operator.dev/runbooks/node/nodefilesystemfilesfillingup</t>
        </is>
      </c>
      <c r="N104" s="3" t="inlineStr">
        <is>
          <t>読み取り専用でマウントされたファイルシステムは除外。同名アラートが複数段階(severity 別)で定義されている。</t>
        </is>
      </c>
    </row>
    <row r="105">
      <c r="A105" s="2" t="n">
        <v>104</v>
      </c>
      <c r="B105" s="3" t="inlineStr">
        <is>
          <t>node-exporter</t>
        </is>
      </c>
      <c r="C105" s="3" t="inlineStr">
        <is>
          <t>ノード(OS/ハードウェア)</t>
        </is>
      </c>
      <c r="D105" s="3" t="inlineStr">
        <is>
          <t>NodeFilesystemAlmostOutOfFiles</t>
        </is>
      </c>
      <c r="E105" s="7" t="inlineStr">
        <is>
          <t>warning</t>
        </is>
      </c>
      <c r="F105" s="3" t="inlineStr">
        <is>
          <t>ノード ファイルシステムの空き inode</t>
        </is>
      </c>
      <c r="G105" s="3" t="inlineStr">
        <is>
          <t>空き inode が 5% 未満</t>
        </is>
      </c>
      <c r="H105" s="2" t="inlineStr">
        <is>
          <t>1h(1時間)</t>
        </is>
      </c>
      <c r="I105" s="3" t="inlineStr"/>
      <c r="J105" s="3" t="inlineStr">
        <is>
          <t>Filesystem has less than 5% inodes left.</t>
        </is>
      </c>
      <c r="K105" s="3" t="inlineStr">
        <is>
          <t>Filesystem on {{ $labels.device }}, mounted on {{ $labels.mountpoint }}, at {{ $labels.instance }} has only {{ printf "%.2f" $value }}% available inodes left.</t>
        </is>
      </c>
      <c r="L105" s="5" t="inlineStr">
        <is>
          <t>(
  node_filesystem_files_free{job="node-exporter",fstype!="",mountpoint!=""} / node_filesystem_files{job="node-exporter",fstype!="",mountpoint!=""} * 100 &lt; 5
and
  node_filesystem_readonly{job="node-exporter",fstype!="",mountpoint!=""} == 0
)</t>
        </is>
      </c>
      <c r="M105" s="6" t="inlineStr">
        <is>
          <t>https://runbooks.prometheus-operator.dev/runbooks/node/nodefilesystemalmostoutoffiles</t>
        </is>
      </c>
      <c r="N105" s="3" t="inlineStr">
        <is>
          <t>読み取り専用でマウントされたファイルシステムは除外。同名アラートが複数段階(severity 別)で定義されている。</t>
        </is>
      </c>
    </row>
    <row r="106">
      <c r="A106" s="2" t="n">
        <v>105</v>
      </c>
      <c r="B106" s="3" t="inlineStr">
        <is>
          <t>node-exporter</t>
        </is>
      </c>
      <c r="C106" s="3" t="inlineStr">
        <is>
          <t>ノード(OS/ハードウェア)</t>
        </is>
      </c>
      <c r="D106" s="3" t="inlineStr">
        <is>
          <t>NodeFilesystemAlmostOutOfFiles</t>
        </is>
      </c>
      <c r="E106" s="4" t="inlineStr">
        <is>
          <t>critical</t>
        </is>
      </c>
      <c r="F106" s="3" t="inlineStr">
        <is>
          <t>ノード ファイルシステムの空き inode</t>
        </is>
      </c>
      <c r="G106" s="3" t="inlineStr">
        <is>
          <t>空き inode が 3% 未満</t>
        </is>
      </c>
      <c r="H106" s="2" t="inlineStr">
        <is>
          <t>1h(1時間)</t>
        </is>
      </c>
      <c r="I106" s="3" t="inlineStr"/>
      <c r="J106" s="3" t="inlineStr">
        <is>
          <t>Filesystem has less than 3% inodes left.</t>
        </is>
      </c>
      <c r="K106" s="3" t="inlineStr">
        <is>
          <t>Filesystem on {{ $labels.device }}, mounted on {{ $labels.mountpoint }}, at {{ $labels.instance }} has only {{ printf "%.2f" $value }}% available inodes left.</t>
        </is>
      </c>
      <c r="L106" s="5" t="inlineStr">
        <is>
          <t>(
  node_filesystem_files_free{job="node-exporter",fstype!="",mountpoint!=""} / node_filesystem_files{job="node-exporter",fstype!="",mountpoint!=""} * 100 &lt; 3
and
  node_filesystem_readonly{job="node-exporter",fstype!="",mountpoint!=""} == 0
)</t>
        </is>
      </c>
      <c r="M106" s="6" t="inlineStr">
        <is>
          <t>https://runbooks.prometheus-operator.dev/runbooks/node/nodefilesystemalmostoutoffiles</t>
        </is>
      </c>
      <c r="N106" s="3" t="inlineStr">
        <is>
          <t>読み取り専用でマウントされたファイルシステムは除外。同名アラートが複数段階(severity 別)で定義されている。</t>
        </is>
      </c>
    </row>
    <row r="107">
      <c r="A107" s="2" t="n">
        <v>106</v>
      </c>
      <c r="B107" s="3" t="inlineStr">
        <is>
          <t>node-exporter</t>
        </is>
      </c>
      <c r="C107" s="3" t="inlineStr">
        <is>
          <t>ノード(OS/ハードウェア)</t>
        </is>
      </c>
      <c r="D107" s="3" t="inlineStr">
        <is>
          <t>NodeNetworkReceiveErrs</t>
        </is>
      </c>
      <c r="E107" s="7" t="inlineStr">
        <is>
          <t>warning</t>
        </is>
      </c>
      <c r="F107" s="3" t="inlineStr">
        <is>
          <t>ノード NIC の受信エラー率</t>
        </is>
      </c>
      <c r="G107" s="3" t="inlineStr">
        <is>
          <t>直近 2 分間の受信エラー数 / 受信パケット数 が 1% を超過</t>
        </is>
      </c>
      <c r="H107" s="2" t="inlineStr">
        <is>
          <t>1h(1時間)</t>
        </is>
      </c>
      <c r="I107" s="3" t="inlineStr"/>
      <c r="J107" s="3" t="inlineStr">
        <is>
          <t>Network interface is reporting many receive errors.</t>
        </is>
      </c>
      <c r="K107" s="3" t="inlineStr">
        <is>
          <t>{{ $labels.instance }} interface {{ $labels.device }} has encountered {{ printf "%.0f" $value }} receive errors in the last two minutes.</t>
        </is>
      </c>
      <c r="L107" s="5" t="inlineStr">
        <is>
          <t>rate(node_network_receive_errs_total{job="node-exporter"}[2m]) / rate(node_network_receive_packets_total{job="node-exporter"}[2m]) &gt; 0.01</t>
        </is>
      </c>
      <c r="M107" s="6" t="inlineStr">
        <is>
          <t>https://runbooks.prometheus-operator.dev/runbooks/node/nodenetworkreceiveerrs</t>
        </is>
      </c>
      <c r="N107" s="3" t="inlineStr"/>
    </row>
    <row r="108">
      <c r="A108" s="2" t="n">
        <v>107</v>
      </c>
      <c r="B108" s="3" t="inlineStr">
        <is>
          <t>node-exporter</t>
        </is>
      </c>
      <c r="C108" s="3" t="inlineStr">
        <is>
          <t>ノード(OS/ハードウェア)</t>
        </is>
      </c>
      <c r="D108" s="3" t="inlineStr">
        <is>
          <t>NodeNetworkTransmitErrs</t>
        </is>
      </c>
      <c r="E108" s="7" t="inlineStr">
        <is>
          <t>warning</t>
        </is>
      </c>
      <c r="F108" s="3" t="inlineStr">
        <is>
          <t>ノード NIC の送信エラー率</t>
        </is>
      </c>
      <c r="G108" s="3" t="inlineStr">
        <is>
          <t>直近 2 分間の送信エラー数 / 送信パケット数 が 1% を超過</t>
        </is>
      </c>
      <c r="H108" s="2" t="inlineStr">
        <is>
          <t>1h(1時間)</t>
        </is>
      </c>
      <c r="I108" s="3" t="inlineStr"/>
      <c r="J108" s="3" t="inlineStr">
        <is>
          <t>Network interface is reporting many transmit errors.</t>
        </is>
      </c>
      <c r="K108" s="3" t="inlineStr">
        <is>
          <t>{{ $labels.instance }} interface {{ $labels.device }} has encountered {{ printf "%.0f" $value }} transmit errors in the last two minutes.</t>
        </is>
      </c>
      <c r="L108" s="5" t="inlineStr">
        <is>
          <t>rate(node_network_transmit_errs_total{job="node-exporter"}[2m]) / rate(node_network_transmit_packets_total{job="node-exporter"}[2m]) &gt; 0.01</t>
        </is>
      </c>
      <c r="M108" s="6" t="inlineStr">
        <is>
          <t>https://runbooks.prometheus-operator.dev/runbooks/node/nodenetworktransmiterrs</t>
        </is>
      </c>
      <c r="N108" s="3" t="inlineStr"/>
    </row>
    <row r="109">
      <c r="A109" s="2" t="n">
        <v>108</v>
      </c>
      <c r="B109" s="3" t="inlineStr">
        <is>
          <t>node-exporter</t>
        </is>
      </c>
      <c r="C109" s="3" t="inlineStr">
        <is>
          <t>ノード(OS/ハードウェア)</t>
        </is>
      </c>
      <c r="D109" s="3" t="inlineStr">
        <is>
          <t>NodeHighNumberConntrackEntriesUsed</t>
        </is>
      </c>
      <c r="E109" s="7" t="inlineStr">
        <is>
          <t>warning</t>
        </is>
      </c>
      <c r="F109" s="3" t="inlineStr">
        <is>
          <t>ノードの conntrack テーブル使用率</t>
        </is>
      </c>
      <c r="G109" s="3" t="inlineStr">
        <is>
          <t>conntrack エントリ数 / 上限 が 75% を超過</t>
        </is>
      </c>
      <c r="H109" s="2" t="inlineStr">
        <is>
          <t>即時(for 未設定)</t>
        </is>
      </c>
      <c r="I109" s="3" t="inlineStr"/>
      <c r="J109" s="3" t="inlineStr">
        <is>
          <t>Number of conntrack are getting close to the limit.</t>
        </is>
      </c>
      <c r="K109" s="3" t="inlineStr">
        <is>
          <t>{{ $labels.instance }} {{ $value | humanizePercentage }} of conntrack entries are used.</t>
        </is>
      </c>
      <c r="L109" s="5" t="inlineStr">
        <is>
          <t>(node_nf_conntrack_entries{job="node-exporter"} / node_nf_conntrack_entries_limit) &gt; 0.75</t>
        </is>
      </c>
      <c r="M109" s="6" t="inlineStr">
        <is>
          <t>https://runbooks.prometheus-operator.dev/runbooks/node/nodehighnumberconntrackentriesused</t>
        </is>
      </c>
      <c r="N109" s="3" t="inlineStr">
        <is>
          <t>for 未設定のため条件成立と同時に発報する。</t>
        </is>
      </c>
    </row>
    <row r="110">
      <c r="A110" s="2" t="n">
        <v>109</v>
      </c>
      <c r="B110" s="3" t="inlineStr">
        <is>
          <t>node-exporter</t>
        </is>
      </c>
      <c r="C110" s="3" t="inlineStr">
        <is>
          <t>ノード(OS/ハードウェア)</t>
        </is>
      </c>
      <c r="D110" s="3" t="inlineStr">
        <is>
          <t>NodeTextFileCollectorScrapeError</t>
        </is>
      </c>
      <c r="E110" s="7" t="inlineStr">
        <is>
          <t>warning</t>
        </is>
      </c>
      <c r="F110" s="3" t="inlineStr">
        <is>
          <t>node-exporter textfile コレクタの読み取り</t>
        </is>
      </c>
      <c r="G110" s="3" t="inlineStr">
        <is>
          <t>node_textfile_scrape_error == 1(textfile コレクタの読み取り失敗)</t>
        </is>
      </c>
      <c r="H110" s="2" t="inlineStr">
        <is>
          <t>即時(for 未設定)</t>
        </is>
      </c>
      <c r="I110" s="3" t="inlineStr"/>
      <c r="J110" s="3" t="inlineStr">
        <is>
          <t>Node Exporter text file collector failed to scrape.</t>
        </is>
      </c>
      <c r="K110" s="3" t="inlineStr">
        <is>
          <t>Node Exporter text file collector on {{ $labels.instance }} failed to scrape.</t>
        </is>
      </c>
      <c r="L110" s="5" t="inlineStr">
        <is>
          <t>node_textfile_scrape_error{job="node-exporter"} == 1</t>
        </is>
      </c>
      <c r="M110" s="6" t="inlineStr">
        <is>
          <t>https://runbooks.prometheus-operator.dev/runbooks/node/nodetextfilecollectorscrapeerror</t>
        </is>
      </c>
      <c r="N110" s="3" t="inlineStr">
        <is>
          <t>for 未設定のため条件成立と同時に発報する。</t>
        </is>
      </c>
    </row>
    <row r="111">
      <c r="A111" s="2" t="n">
        <v>110</v>
      </c>
      <c r="B111" s="3" t="inlineStr">
        <is>
          <t>node-exporter</t>
        </is>
      </c>
      <c r="C111" s="3" t="inlineStr">
        <is>
          <t>ノード(OS/ハードウェア)</t>
        </is>
      </c>
      <c r="D111" s="3" t="inlineStr">
        <is>
          <t>NodeClockSkewDetected</t>
        </is>
      </c>
      <c r="E111" s="7" t="inlineStr">
        <is>
          <t>warning</t>
        </is>
      </c>
      <c r="F111" s="3" t="inlineStr">
        <is>
          <t>ノードの時刻ずれ</t>
        </is>
      </c>
      <c r="G111" s="3" t="inlineStr">
        <is>
          <t>NTP オフセットが +0.05 秒超で拡大傾向、または -0.05 秒未満で拡大傾向(直近 5 分の微分で判定)</t>
        </is>
      </c>
      <c r="H111" s="2" t="inlineStr">
        <is>
          <t>10m(10分)</t>
        </is>
      </c>
      <c r="I111" s="3" t="inlineStr"/>
      <c r="J111" s="3" t="inlineStr">
        <is>
          <t>Clock skew detected.</t>
        </is>
      </c>
      <c r="K111" s="3" t="inlineStr">
        <is>
          <t>Clock at {{ $labels.instance }} is out of sync by more than 0.05s. Ensure NTP is configured correctly on this host.</t>
        </is>
      </c>
      <c r="L111" s="5" t="inlineStr">
        <is>
          <t>(
  node_timex_offset_seconds{job="node-exporter"} &gt; 0.05
and
  deriv(node_timex_offset_seconds{job="node-exporter"}[5m]) &gt;= 0
)
or
(
  node_timex_offset_seconds{job="node-exporter"} &lt; -0.05
and
  deriv(node_timex_offset_seconds{job="node-exporter"}[5m]) &lt;= 0
)</t>
        </is>
      </c>
      <c r="M111" s="6" t="inlineStr">
        <is>
          <t>https://runbooks.prometheus-operator.dev/runbooks/node/nodeclockskewdetected</t>
        </is>
      </c>
      <c r="N111" s="3" t="inlineStr"/>
    </row>
    <row r="112">
      <c r="A112" s="2" t="n">
        <v>111</v>
      </c>
      <c r="B112" s="3" t="inlineStr">
        <is>
          <t>node-exporter</t>
        </is>
      </c>
      <c r="C112" s="3" t="inlineStr">
        <is>
          <t>ノード(OS/ハードウェア)</t>
        </is>
      </c>
      <c r="D112" s="3" t="inlineStr">
        <is>
          <t>NodeClockNotSynchronising</t>
        </is>
      </c>
      <c r="E112" s="7" t="inlineStr">
        <is>
          <t>warning</t>
        </is>
      </c>
      <c r="F112" s="3" t="inlineStr">
        <is>
          <t>ノードの時刻同期状態</t>
        </is>
      </c>
      <c r="G112" s="3" t="inlineStr">
        <is>
          <t>直近 5 分間 NTP 同期状態が 0(未同期)、かつ最大誤差が 16 秒以上</t>
        </is>
      </c>
      <c r="H112" s="2" t="inlineStr">
        <is>
          <t>10m(10分)</t>
        </is>
      </c>
      <c r="I112" s="3" t="inlineStr"/>
      <c r="J112" s="3" t="inlineStr">
        <is>
          <t>Clock not synchronising.</t>
        </is>
      </c>
      <c r="K112" s="3" t="inlineStr">
        <is>
          <t>Clock at {{ $labels.instance }} is not synchronising. Ensure NTP is configured on this host.</t>
        </is>
      </c>
      <c r="L112" s="5" t="inlineStr">
        <is>
          <t>min_over_time(node_timex_sync_status{job="node-exporter"}[5m]) == 0
and
node_timex_maxerror_seconds{job="node-exporter"} &gt;= 16</t>
        </is>
      </c>
      <c r="M112" s="6" t="inlineStr">
        <is>
          <t>https://runbooks.prometheus-operator.dev/runbooks/node/nodeclocknotsynchronising</t>
        </is>
      </c>
      <c r="N112" s="3" t="inlineStr"/>
    </row>
    <row r="113">
      <c r="A113" s="2" t="n">
        <v>112</v>
      </c>
      <c r="B113" s="3" t="inlineStr">
        <is>
          <t>node-exporter</t>
        </is>
      </c>
      <c r="C113" s="3" t="inlineStr">
        <is>
          <t>ノード(OS/ハードウェア)</t>
        </is>
      </c>
      <c r="D113" s="3" t="inlineStr">
        <is>
          <t>NodeRAIDDegraded</t>
        </is>
      </c>
      <c r="E113" s="4" t="inlineStr">
        <is>
          <t>critical</t>
        </is>
      </c>
      <c r="F113" s="3" t="inlineStr">
        <is>
          <t>ソフトウェア RAID(md)の縮退</t>
        </is>
      </c>
      <c r="G113" s="3" t="inlineStr">
        <is>
          <t>必要ディスク数 - active ディスク数 &gt; 0(RAID アレイが縮退状態)</t>
        </is>
      </c>
      <c r="H113" s="2" t="inlineStr">
        <is>
          <t>15m(15分)</t>
        </is>
      </c>
      <c r="I113" s="3" t="inlineStr"/>
      <c r="J113" s="3" t="inlineStr">
        <is>
          <t>RAID Array is degraded.</t>
        </is>
      </c>
      <c r="K113" s="3" t="inlineStr">
        <is>
          <t>RAID array '{{ $labels.device }}' at {{ $labels.instance }} is in degraded state due to one or more disks failures. Number of spare drives is insufficient to fix issue automatically.</t>
        </is>
      </c>
      <c r="L113" s="5" t="inlineStr">
        <is>
          <t>node_md_disks_required{job="node-exporter",device=~"(/dev/)?(mmcblk.p.+|nvme.+|rbd.+|sd.+|vd.+|xvd.+|dm-.+|md.+|dasd.+)"} - ignoring (state) (node_md_disks{state="active",job="node-exporter",device=~"(/dev/)?(mmcblk.p.+|nvme.+|rbd.+|sd.+|vd.+|xvd.+|dm-.+|md.+|dasd.+)"}) &gt; 0</t>
        </is>
      </c>
      <c r="M113" s="6" t="inlineStr">
        <is>
          <t>https://runbooks.prometheus-operator.dev/runbooks/node/noderaiddegraded</t>
        </is>
      </c>
      <c r="N113" s="3" t="inlineStr"/>
    </row>
    <row r="114">
      <c r="A114" s="2" t="n">
        <v>113</v>
      </c>
      <c r="B114" s="3" t="inlineStr">
        <is>
          <t>node-exporter</t>
        </is>
      </c>
      <c r="C114" s="3" t="inlineStr">
        <is>
          <t>ノード(OS/ハードウェア)</t>
        </is>
      </c>
      <c r="D114" s="3" t="inlineStr">
        <is>
          <t>NodeRAIDDiskFailure</t>
        </is>
      </c>
      <c r="E114" s="7" t="inlineStr">
        <is>
          <t>warning</t>
        </is>
      </c>
      <c r="F114" s="3" t="inlineStr">
        <is>
          <t>ソフトウェア RAID(md)のディスク故障</t>
        </is>
      </c>
      <c r="G114" s="3" t="inlineStr">
        <is>
          <t>state=failed のディスク数 &gt; 0</t>
        </is>
      </c>
      <c r="H114" s="2" t="inlineStr">
        <is>
          <t>即時(for 未設定)</t>
        </is>
      </c>
      <c r="I114" s="3" t="inlineStr"/>
      <c r="J114" s="3" t="inlineStr">
        <is>
          <t>Failed device in RAID array.</t>
        </is>
      </c>
      <c r="K114" s="3" t="inlineStr">
        <is>
          <t>At least one device in RAID array at {{ $labels.instance }} failed. Array '{{ $labels.device }}' needs attention and possibly a disk swap.</t>
        </is>
      </c>
      <c r="L114" s="5" t="inlineStr">
        <is>
          <t>node_md_disks{state="failed",job="node-exporter",device=~"(/dev/)?(mmcblk.p.+|nvme.+|rbd.+|sd.+|vd.+|xvd.+|dm-.+|md.+|dasd.+)"} &gt; 0</t>
        </is>
      </c>
      <c r="M114" s="6" t="inlineStr">
        <is>
          <t>https://runbooks.prometheus-operator.dev/runbooks/node/noderaiddiskfailure</t>
        </is>
      </c>
      <c r="N114" s="3" t="inlineStr">
        <is>
          <t>for 未設定のため条件成立と同時に発報する。</t>
        </is>
      </c>
    </row>
    <row r="115">
      <c r="A115" s="2" t="n">
        <v>114</v>
      </c>
      <c r="B115" s="3" t="inlineStr">
        <is>
          <t>node-exporter</t>
        </is>
      </c>
      <c r="C115" s="3" t="inlineStr">
        <is>
          <t>ノード(OS/ハードウェア)</t>
        </is>
      </c>
      <c r="D115" s="3" t="inlineStr">
        <is>
          <t>NodeFileDescriptorLimit</t>
        </is>
      </c>
      <c r="E115" s="7" t="inlineStr">
        <is>
          <t>warning</t>
        </is>
      </c>
      <c r="F115" s="3" t="inlineStr">
        <is>
          <t>ノード(カーネル)のファイルディスクリプタ使用率</t>
        </is>
      </c>
      <c r="G115" s="3" t="inlineStr">
        <is>
          <t>割当済み FD 数 / 上限 が 70% を超過</t>
        </is>
      </c>
      <c r="H115" s="2" t="inlineStr">
        <is>
          <t>15m(15分)</t>
        </is>
      </c>
      <c r="I115" s="3" t="inlineStr"/>
      <c r="J115" s="3" t="inlineStr">
        <is>
          <t>Kernel is predicted to exhaust file descriptors limit soon.</t>
        </is>
      </c>
      <c r="K115" s="3" t="inlineStr">
        <is>
          <t>File descriptors limit at {{ $labels.instance }} is currently at {{ printf "%.2f" $value }}%.</t>
        </is>
      </c>
      <c r="L115" s="5" t="inlineStr">
        <is>
          <t>(
  node_filefd_allocated{job="node-exporter"} * 100 / node_filefd_maximum{job="node-exporter"} &gt; 70
)</t>
        </is>
      </c>
      <c r="M115" s="6" t="inlineStr">
        <is>
          <t>https://runbooks.prometheus-operator.dev/runbooks/node/nodefiledescriptorlimit</t>
        </is>
      </c>
      <c r="N115" s="3" t="inlineStr">
        <is>
          <t>同名アラートが複数段階(severity 別)で定義されている。</t>
        </is>
      </c>
    </row>
    <row r="116">
      <c r="A116" s="2" t="n">
        <v>115</v>
      </c>
      <c r="B116" s="3" t="inlineStr">
        <is>
          <t>node-exporter</t>
        </is>
      </c>
      <c r="C116" s="3" t="inlineStr">
        <is>
          <t>ノード(OS/ハードウェア)</t>
        </is>
      </c>
      <c r="D116" s="3" t="inlineStr">
        <is>
          <t>NodeFileDescriptorLimit</t>
        </is>
      </c>
      <c r="E116" s="4" t="inlineStr">
        <is>
          <t>critical</t>
        </is>
      </c>
      <c r="F116" s="3" t="inlineStr">
        <is>
          <t>ノード(カーネル)のファイルディスクリプタ使用率</t>
        </is>
      </c>
      <c r="G116" s="3" t="inlineStr">
        <is>
          <t>割当済み FD 数 / 上限 が 90% を超過</t>
        </is>
      </c>
      <c r="H116" s="2" t="inlineStr">
        <is>
          <t>15m(15分)</t>
        </is>
      </c>
      <c r="I116" s="3" t="inlineStr"/>
      <c r="J116" s="3" t="inlineStr">
        <is>
          <t>Kernel is predicted to exhaust file descriptors limit soon.</t>
        </is>
      </c>
      <c r="K116" s="3" t="inlineStr">
        <is>
          <t>File descriptors limit at {{ $labels.instance }} is currently at {{ printf "%.2f" $value }}%.</t>
        </is>
      </c>
      <c r="L116" s="5" t="inlineStr">
        <is>
          <t>(
  node_filefd_allocated{job="node-exporter"} * 100 / node_filefd_maximum{job="node-exporter"} &gt; 90
)</t>
        </is>
      </c>
      <c r="M116" s="6" t="inlineStr">
        <is>
          <t>https://runbooks.prometheus-operator.dev/runbooks/node/nodefiledescriptorlimit</t>
        </is>
      </c>
      <c r="N116" s="3" t="inlineStr">
        <is>
          <t>同名アラートが複数段階(severity 別)で定義されている。</t>
        </is>
      </c>
    </row>
    <row r="117">
      <c r="A117" s="2" t="n">
        <v>116</v>
      </c>
      <c r="B117" s="3" t="inlineStr">
        <is>
          <t>node-exporter</t>
        </is>
      </c>
      <c r="C117" s="3" t="inlineStr">
        <is>
          <t>ノード(OS/ハードウェア)</t>
        </is>
      </c>
      <c r="D117" s="3" t="inlineStr">
        <is>
          <t>NodeCPUHighUsage</t>
        </is>
      </c>
      <c r="E117" s="9" t="inlineStr">
        <is>
          <t>info</t>
        </is>
      </c>
      <c r="F117" s="3" t="inlineStr">
        <is>
          <t>ノードの CPU 使用率</t>
        </is>
      </c>
      <c r="G117" s="3" t="inlineStr">
        <is>
          <t>直近 2 分間の CPU 使用率(idle/iowait 以外の合計)が 90% を超過</t>
        </is>
      </c>
      <c r="H117" s="2" t="inlineStr">
        <is>
          <t>15m(15分)</t>
        </is>
      </c>
      <c r="I117" s="3" t="inlineStr"/>
      <c r="J117" s="3" t="inlineStr">
        <is>
          <t>High CPU usage.</t>
        </is>
      </c>
      <c r="K117" s="3" t="inlineStr">
        <is>
          <t>CPU usage at {{ $labels.instance }} has been above 90% for the last 15 minutes, is currently at {{ printf "%.2f" $value }}%.</t>
        </is>
      </c>
      <c r="L117" s="5" t="inlineStr">
        <is>
          <t>sum without(mode) (avg without (cpu) (rate(node_cpu_seconds_total{job="node-exporter", mode!~"idle|iowait"}[2m]))) * 100 &gt; 90</t>
        </is>
      </c>
      <c r="M117" s="6" t="inlineStr">
        <is>
          <t>https://runbooks.prometheus-operator.dev/runbooks/node/nodecpuhighusage</t>
        </is>
      </c>
      <c r="N117" s="3" t="inlineStr"/>
    </row>
    <row r="118">
      <c r="A118" s="2" t="n">
        <v>117</v>
      </c>
      <c r="B118" s="3" t="inlineStr">
        <is>
          <t>node-exporter</t>
        </is>
      </c>
      <c r="C118" s="3" t="inlineStr">
        <is>
          <t>ノード(OS/ハードウェア)</t>
        </is>
      </c>
      <c r="D118" s="3" t="inlineStr">
        <is>
          <t>NodeSystemSaturation</t>
        </is>
      </c>
      <c r="E118" s="7" t="inlineStr">
        <is>
          <t>warning</t>
        </is>
      </c>
      <c r="F118" s="3" t="inlineStr">
        <is>
          <t>ノードのロードアベレージ(コアあたり)</t>
        </is>
      </c>
      <c r="G118" s="3" t="inlineStr">
        <is>
          <t>load1 / CPU コア数 が 2 を超過</t>
        </is>
      </c>
      <c r="H118" s="2" t="inlineStr">
        <is>
          <t>15m(15分)</t>
        </is>
      </c>
      <c r="I118" s="3" t="inlineStr"/>
      <c r="J118" s="3" t="inlineStr">
        <is>
          <t>System saturated, load per core is very high.</t>
        </is>
      </c>
      <c r="K118" s="3" t="inlineStr">
        <is>
          <t>System load per core at {{ $labels.instance }} has been above 2 for the last 15 minutes, is currently at {{ printf "%.2f" $value }}.
This might indicate this instance resources saturation and can cause it becoming unresponsive.</t>
        </is>
      </c>
      <c r="L118" s="5" t="inlineStr">
        <is>
          <t>node_load1{job="node-exporter"}
/ count without (cpu, mode) (node_cpu_seconds_total{job="node-exporter", mode="idle"}) &gt; 2</t>
        </is>
      </c>
      <c r="M118" s="6" t="inlineStr">
        <is>
          <t>https://runbooks.prometheus-operator.dev/runbooks/node/nodesystemsaturation</t>
        </is>
      </c>
      <c r="N118" s="3" t="inlineStr"/>
    </row>
    <row r="119">
      <c r="A119" s="2" t="n">
        <v>118</v>
      </c>
      <c r="B119" s="3" t="inlineStr">
        <is>
          <t>node-exporter</t>
        </is>
      </c>
      <c r="C119" s="3" t="inlineStr">
        <is>
          <t>ノード(OS/ハードウェア)</t>
        </is>
      </c>
      <c r="D119" s="3" t="inlineStr">
        <is>
          <t>NodeMemoryMajorPagesFaults</t>
        </is>
      </c>
      <c r="E119" s="7" t="inlineStr">
        <is>
          <t>warning</t>
        </is>
      </c>
      <c r="F119" s="3" t="inlineStr">
        <is>
          <t>ノードのメジャーページフォールト発生率</t>
        </is>
      </c>
      <c r="G119" s="3" t="inlineStr">
        <is>
          <t>直近 5 分間のメジャーページフォールトが 500 回/秒 を超過</t>
        </is>
      </c>
      <c r="H119" s="2" t="inlineStr">
        <is>
          <t>15m(15分)</t>
        </is>
      </c>
      <c r="I119" s="3" t="inlineStr"/>
      <c r="J119" s="3" t="inlineStr">
        <is>
          <t>Memory major page faults are occurring at very high rate.</t>
        </is>
      </c>
      <c r="K119" s="3" t="inlineStr">
        <is>
          <t>Memory major pages are occurring at very high rate at {{ $labels.instance }}, 500 major page faults per second for the last 15 minutes, is currently at {{ printf "%.2f" $value }}.
Please check that there is enough memory available at this instance.</t>
        </is>
      </c>
      <c r="L119" s="5" t="inlineStr">
        <is>
          <t>rate(node_vmstat_pgmajfault{job="node-exporter"}[5m]) &gt; 500</t>
        </is>
      </c>
      <c r="M119" s="6" t="inlineStr">
        <is>
          <t>https://runbooks.prometheus-operator.dev/runbooks/node/nodememorymajorpagesfaults</t>
        </is>
      </c>
      <c r="N119" s="3" t="inlineStr"/>
    </row>
    <row r="120">
      <c r="A120" s="2" t="n">
        <v>119</v>
      </c>
      <c r="B120" s="3" t="inlineStr">
        <is>
          <t>node-exporter</t>
        </is>
      </c>
      <c r="C120" s="3" t="inlineStr">
        <is>
          <t>ノード(OS/ハードウェア)</t>
        </is>
      </c>
      <c r="D120" s="3" t="inlineStr">
        <is>
          <t>NodeMemoryHighUtilization</t>
        </is>
      </c>
      <c r="E120" s="7" t="inlineStr">
        <is>
          <t>warning</t>
        </is>
      </c>
      <c r="F120" s="3" t="inlineStr">
        <is>
          <t>ノードのメモリ使用率</t>
        </is>
      </c>
      <c r="G120" s="3" t="inlineStr">
        <is>
          <t>100 - (MemAvailable / MemTotal * 100) が 90% を超過</t>
        </is>
      </c>
      <c r="H120" s="2" t="inlineStr">
        <is>
          <t>15m(15分)</t>
        </is>
      </c>
      <c r="I120" s="3" t="inlineStr"/>
      <c r="J120" s="3" t="inlineStr">
        <is>
          <t>Host is running out of memory.</t>
        </is>
      </c>
      <c r="K120" s="3" t="inlineStr">
        <is>
          <t>Memory is filling up at {{ $labels.instance }}, has been above 90% for the last 15 minutes, is currently at {{ printf "%.2f" $value }}%.</t>
        </is>
      </c>
      <c r="L120" s="5" t="inlineStr">
        <is>
          <t>100 - (node_memory_MemAvailable_bytes{job="node-exporter"} / node_memory_MemTotal_bytes{job="node-exporter"} * 100) &gt; 90</t>
        </is>
      </c>
      <c r="M120" s="6" t="inlineStr">
        <is>
          <t>https://runbooks.prometheus-operator.dev/runbooks/node/nodememoryhighutilization</t>
        </is>
      </c>
      <c r="N120" s="3" t="inlineStr"/>
    </row>
    <row r="121">
      <c r="A121" s="2" t="n">
        <v>120</v>
      </c>
      <c r="B121" s="3" t="inlineStr">
        <is>
          <t>node-exporter</t>
        </is>
      </c>
      <c r="C121" s="3" t="inlineStr">
        <is>
          <t>ノード(OS/ハードウェア)</t>
        </is>
      </c>
      <c r="D121" s="3" t="inlineStr">
        <is>
          <t>NodeDiskIOSaturation</t>
        </is>
      </c>
      <c r="E121" s="7" t="inlineStr">
        <is>
          <t>warning</t>
        </is>
      </c>
      <c r="F121" s="3" t="inlineStr">
        <is>
          <t>ノードのディスク I/O キュー滞留</t>
        </is>
      </c>
      <c r="G121" s="3" t="inlineStr">
        <is>
          <t>直近 5 分間の加重 I/O 時間(io_time_weighted)のレートが 10 を超過(平均キュー長 10 相当)</t>
        </is>
      </c>
      <c r="H121" s="2" t="inlineStr">
        <is>
          <t>30m(30分)</t>
        </is>
      </c>
      <c r="I121" s="3" t="inlineStr"/>
      <c r="J121" s="3" t="inlineStr">
        <is>
          <t>Disk IO queue is high.</t>
        </is>
      </c>
      <c r="K121" s="3" t="inlineStr">
        <is>
          <t>Disk IO queue (aqu-sq) is high on {{ $labels.device }} at {{ $labels.instance }}, has been above 10 for the last 30 minutes, is currently at {{ printf "%.2f" $value }}.
This symptom might indicate disk saturation.</t>
        </is>
      </c>
      <c r="L121" s="5" t="inlineStr">
        <is>
          <t>rate(node_disk_io_time_weighted_seconds_total{job="node-exporter", device=~"(/dev/)?(mmcblk.p.+|nvme.+|rbd.+|sd.+|vd.+|xvd.+|dm-.+|md.+|dasd.+)"}[5m]) &gt; 10</t>
        </is>
      </c>
      <c r="M121" s="6" t="inlineStr">
        <is>
          <t>https://runbooks.prometheus-operator.dev/runbooks/node/nodediskiosaturation</t>
        </is>
      </c>
      <c r="N121" s="3" t="inlineStr"/>
    </row>
    <row r="122">
      <c r="A122" s="2" t="n">
        <v>121</v>
      </c>
      <c r="B122" s="3" t="inlineStr">
        <is>
          <t>node-exporter</t>
        </is>
      </c>
      <c r="C122" s="3" t="inlineStr">
        <is>
          <t>ノード(OS/ハードウェア)</t>
        </is>
      </c>
      <c r="D122" s="3" t="inlineStr">
        <is>
          <t>NodeSystemdServiceFailed</t>
        </is>
      </c>
      <c r="E122" s="7" t="inlineStr">
        <is>
          <t>warning</t>
        </is>
      </c>
      <c r="F122" s="3" t="inlineStr">
        <is>
          <t>ノード systemd サービスの failed 状態</t>
        </is>
      </c>
      <c r="G122" s="3" t="inlineStr">
        <is>
          <t>state=failed の systemd ユニットが存在</t>
        </is>
      </c>
      <c r="H122" s="2" t="inlineStr">
        <is>
          <t>5m(5分)</t>
        </is>
      </c>
      <c r="I122" s="3" t="inlineStr"/>
      <c r="J122" s="3" t="inlineStr">
        <is>
          <t>Systemd service has entered failed state.</t>
        </is>
      </c>
      <c r="K122" s="3" t="inlineStr">
        <is>
          <t>Systemd service {{ $labels.name }} has entered failed state at {{ $labels.instance }}</t>
        </is>
      </c>
      <c r="L122" s="5" t="inlineStr">
        <is>
          <t>node_systemd_unit_state{job="node-exporter", state="failed"} == 1</t>
        </is>
      </c>
      <c r="M122" s="6" t="inlineStr">
        <is>
          <t>https://runbooks.prometheus-operator.dev/runbooks/node/nodesystemdservicefailed</t>
        </is>
      </c>
      <c r="N122" s="3" t="inlineStr"/>
    </row>
    <row r="123">
      <c r="A123" s="2" t="n">
        <v>122</v>
      </c>
      <c r="B123" s="3" t="inlineStr">
        <is>
          <t>node-exporter</t>
        </is>
      </c>
      <c r="C123" s="3" t="inlineStr">
        <is>
          <t>ノード(OS/ハードウェア)</t>
        </is>
      </c>
      <c r="D123" s="3" t="inlineStr">
        <is>
          <t>NodeSystemdServiceCrashlooping</t>
        </is>
      </c>
      <c r="E123" s="7" t="inlineStr">
        <is>
          <t>warning</t>
        </is>
      </c>
      <c r="F123" s="3" t="inlineStr">
        <is>
          <t>ノード systemd サービスの再起動繰り返し</t>
        </is>
      </c>
      <c r="G123" s="3" t="inlineStr">
        <is>
          <t>直近 5 分間のサービス再起動回数の増分が 2 回を超過</t>
        </is>
      </c>
      <c r="H123" s="2" t="inlineStr">
        <is>
          <t>15m(15分)</t>
        </is>
      </c>
      <c r="I123" s="3" t="inlineStr"/>
      <c r="J123" s="3" t="inlineStr">
        <is>
          <t>Systemd service keeps restaring, possibly crash looping.</t>
        </is>
      </c>
      <c r="K123" s="3" t="inlineStr">
        <is>
          <t>Systemd service {{ $labels.name }} has being restarted too many times at {{ $labels.instance }} for the last 15 minutes. Please check if service is crash looping.</t>
        </is>
      </c>
      <c r="L123" s="5" t="inlineStr">
        <is>
          <t>increase(node_systemd_service_restart_total{job="node-exporter"}[5m]) &gt; 2</t>
        </is>
      </c>
      <c r="M123" s="6" t="inlineStr">
        <is>
          <t>https://runbooks.prometheus-operator.dev/runbooks/node/nodesystemdservicecrashlooping</t>
        </is>
      </c>
      <c r="N123" s="3" t="inlineStr"/>
    </row>
    <row r="124">
      <c r="A124" s="2" t="n">
        <v>123</v>
      </c>
      <c r="B124" s="3" t="inlineStr">
        <is>
          <t>node-exporter</t>
        </is>
      </c>
      <c r="C124" s="3" t="inlineStr">
        <is>
          <t>ノード(OS/ハードウェア)</t>
        </is>
      </c>
      <c r="D124" s="3" t="inlineStr">
        <is>
          <t>NodeBondingDegraded</t>
        </is>
      </c>
      <c r="E124" s="7" t="inlineStr">
        <is>
          <t>warning</t>
        </is>
      </c>
      <c r="F124" s="3" t="inlineStr">
        <is>
          <t>ノード bonding インターフェースの縮退</t>
        </is>
      </c>
      <c r="G124" s="3" t="inlineStr">
        <is>
          <t>bonding のスレーブ NIC 数 - active NIC 数 != 0</t>
        </is>
      </c>
      <c r="H124" s="2" t="inlineStr">
        <is>
          <t>5m(5分)</t>
        </is>
      </c>
      <c r="I124" s="3" t="inlineStr"/>
      <c r="J124" s="3" t="inlineStr">
        <is>
          <t>Bonding interface is degraded.</t>
        </is>
      </c>
      <c r="K124" s="3" t="inlineStr">
        <is>
          <t>Bonding interface {{ $labels.master }} on {{ $labels.instance }} is in degraded state due to one or more slave failures.</t>
        </is>
      </c>
      <c r="L124" s="5" t="inlineStr">
        <is>
          <t>(node_bonding_slaves{job="node-exporter"} - node_bonding_active{job="node-exporter"}) != 0</t>
        </is>
      </c>
      <c r="M124" s="6" t="inlineStr">
        <is>
          <t>https://runbooks.prometheus-operator.dev/runbooks/node/nodebondingdegraded</t>
        </is>
      </c>
      <c r="N124" s="3" t="inlineStr"/>
    </row>
    <row r="125">
      <c r="A125" s="2" t="n">
        <v>124</v>
      </c>
      <c r="B125" s="3" t="inlineStr">
        <is>
          <t>node-network</t>
        </is>
      </c>
      <c r="C125" s="3" t="inlineStr">
        <is>
          <t>ノード(ネットワーク)</t>
        </is>
      </c>
      <c r="D125" s="3" t="inlineStr">
        <is>
          <t>NodeNetworkInterfaceFlapping</t>
        </is>
      </c>
      <c r="E125" s="7" t="inlineStr">
        <is>
          <t>warning</t>
        </is>
      </c>
      <c r="F125" s="3" t="inlineStr">
        <is>
          <t>ノード NIC のリンク状態フラッピング</t>
        </is>
      </c>
      <c r="G125" s="3" t="inlineStr">
        <is>
          <t>直近 2 分間で NIC の up/down 変化回数が 2 回を超過(veth を除く)</t>
        </is>
      </c>
      <c r="H125" s="2" t="inlineStr">
        <is>
          <t>2m(2分)</t>
        </is>
      </c>
      <c r="I125" s="3" t="inlineStr"/>
      <c r="J125" s="3" t="inlineStr">
        <is>
          <t>Network interface is often changing its status</t>
        </is>
      </c>
      <c r="K125" s="3" t="inlineStr">
        <is>
          <t>Network interface "{{ $labels.device }}" changing its up status often on node-exporter {{ $labels.namespace }}/{{ $labels.pod }}</t>
        </is>
      </c>
      <c r="L125" s="5" t="inlineStr">
        <is>
          <t>changes(node_network_up{job="node-exporter",device!~"veth.+"}[2m]) &gt; 2</t>
        </is>
      </c>
      <c r="M125" s="6" t="inlineStr">
        <is>
          <t>https://runbooks.prometheus-operator.dev/runbooks/general/nodenetworkinterfaceflapping</t>
        </is>
      </c>
      <c r="N125" s="3" t="inlineStr"/>
    </row>
    <row r="126">
      <c r="A126" s="2" t="n">
        <v>125</v>
      </c>
      <c r="B126" s="3" t="inlineStr">
        <is>
          <t>prometheus</t>
        </is>
      </c>
      <c r="C126" s="3" t="inlineStr">
        <is>
          <t>Prometheus</t>
        </is>
      </c>
      <c r="D126" s="3" t="inlineStr">
        <is>
          <t>PrometheusBadConfig</t>
        </is>
      </c>
      <c r="E126" s="4" t="inlineStr">
        <is>
          <t>critical</t>
        </is>
      </c>
      <c r="F126" s="3" t="inlineStr">
        <is>
          <t>Prometheus の設定リロード成否</t>
        </is>
      </c>
      <c r="G126" s="3" t="inlineStr">
        <is>
          <t>直近 5 分間の設定リロードが一度も成功していない(prometheus_config_last_reload_successful == 0)</t>
        </is>
      </c>
      <c r="H126" s="2" t="inlineStr">
        <is>
          <t>10m(10分)</t>
        </is>
      </c>
      <c r="I126" s="3" t="inlineStr"/>
      <c r="J126" s="3" t="inlineStr">
        <is>
          <t>Failed Prometheus configuration reload.</t>
        </is>
      </c>
      <c r="K126" s="3" t="inlineStr">
        <is>
          <t>Prometheus {{$labels.namespace}}/{{$labels.pod}} has failed to reload its configuration.</t>
        </is>
      </c>
      <c r="L126" s="5" t="inlineStr">
        <is>
          <t># Without max_over_time, failed scrapes could create false negatives, see
# https://www.robustperception.io/alerting-on-gauges-in-prometheus-2-0 for details.
max_over_time(prometheus_config_last_reload_successful{job="monitoring-kube-prometheus-prometheus",namespace="monitoring"}[5m]) == 0</t>
        </is>
      </c>
      <c r="M126" s="6" t="inlineStr">
        <is>
          <t>https://runbooks.prometheus-operator.dev/runbooks/prometheus/prometheusbadconfig</t>
        </is>
      </c>
      <c r="N126" s="3" t="inlineStr"/>
    </row>
    <row r="127">
      <c r="A127" s="2" t="n">
        <v>126</v>
      </c>
      <c r="B127" s="3" t="inlineStr">
        <is>
          <t>prometheus</t>
        </is>
      </c>
      <c r="C127" s="3" t="inlineStr">
        <is>
          <t>Prometheus</t>
        </is>
      </c>
      <c r="D127" s="3" t="inlineStr">
        <is>
          <t>PrometheusSDRefreshFailure</t>
        </is>
      </c>
      <c r="E127" s="7" t="inlineStr">
        <is>
          <t>warning</t>
        </is>
      </c>
      <c r="F127" s="3" t="inlineStr">
        <is>
          <t>Prometheus サービスディスカバリの更新失敗</t>
        </is>
      </c>
      <c r="G127" s="3" t="inlineStr">
        <is>
          <t>直近 10 分間で SD リフレッシュ失敗の増分が 0 より大きい</t>
        </is>
      </c>
      <c r="H127" s="2" t="inlineStr">
        <is>
          <t>20m(20分)</t>
        </is>
      </c>
      <c r="I127" s="3" t="inlineStr"/>
      <c r="J127" s="3" t="inlineStr">
        <is>
          <t>Failed Prometheus SD refresh.</t>
        </is>
      </c>
      <c r="K127" s="3" t="inlineStr">
        <is>
          <t>Prometheus {{$labels.namespace}}/{{$labels.pod}} has failed to refresh SD with mechanism {{$labels.mechanism}}.</t>
        </is>
      </c>
      <c r="L127" s="5" t="inlineStr">
        <is>
          <t>increase(prometheus_sd_refresh_failures_total{job="monitoring-kube-prometheus-prometheus",namespace="monitoring"}[10m]) &gt; 0</t>
        </is>
      </c>
      <c r="M127" s="6" t="inlineStr">
        <is>
          <t>https://runbooks.prometheus-operator.dev/runbooks/prometheus/prometheussdrefreshfailure</t>
        </is>
      </c>
      <c r="N127" s="3" t="inlineStr"/>
    </row>
    <row r="128">
      <c r="A128" s="2" t="n">
        <v>127</v>
      </c>
      <c r="B128" s="3" t="inlineStr">
        <is>
          <t>prometheus</t>
        </is>
      </c>
      <c r="C128" s="3" t="inlineStr">
        <is>
          <t>Prometheus</t>
        </is>
      </c>
      <c r="D128" s="3" t="inlineStr">
        <is>
          <t>PrometheusKubernetesListWatchFailures</t>
        </is>
      </c>
      <c r="E128" s="7" t="inlineStr">
        <is>
          <t>warning</t>
        </is>
      </c>
      <c r="F128" s="3" t="inlineStr">
        <is>
          <t>Prometheus Kubernetes SD の list/watch 失敗</t>
        </is>
      </c>
      <c r="G128" s="3" t="inlineStr">
        <is>
          <t>直近 5 分間で Kubernetes SD の失敗数の増分が 0 より大きい</t>
        </is>
      </c>
      <c r="H128" s="2" t="inlineStr">
        <is>
          <t>15m(15分)</t>
        </is>
      </c>
      <c r="I128" s="3" t="inlineStr"/>
      <c r="J128" s="3" t="inlineStr">
        <is>
          <t>Requests in Kubernetes SD are failing.</t>
        </is>
      </c>
      <c r="K128" s="3" t="inlineStr">
        <is>
          <t>Kubernetes service discovery of Prometheus {{$labels.namespace}}/{{$labels.pod}} is experiencing {{ printf "%.0f" $value }} failures with LIST/WATCH requests to the Kubernetes API in the last 5 minutes.</t>
        </is>
      </c>
      <c r="L128" s="5" t="inlineStr">
        <is>
          <t>increase(prometheus_sd_kubernetes_failures_total{job="monitoring-kube-prometheus-prometheus",namespace="monitoring"}[5m]) &gt; 0</t>
        </is>
      </c>
      <c r="M128" s="6" t="inlineStr">
        <is>
          <t>https://runbooks.prometheus-operator.dev/runbooks/prometheus/prometheuskuberneteslistwatchfailures</t>
        </is>
      </c>
      <c r="N128" s="3" t="inlineStr"/>
    </row>
    <row r="129">
      <c r="A129" s="2" t="n">
        <v>128</v>
      </c>
      <c r="B129" s="3" t="inlineStr">
        <is>
          <t>prometheus</t>
        </is>
      </c>
      <c r="C129" s="3" t="inlineStr">
        <is>
          <t>Prometheus</t>
        </is>
      </c>
      <c r="D129" s="3" t="inlineStr">
        <is>
          <t>PrometheusNotificationQueueRunningFull</t>
        </is>
      </c>
      <c r="E129" s="7" t="inlineStr">
        <is>
          <t>warning</t>
        </is>
      </c>
      <c r="F129" s="3" t="inlineStr">
        <is>
          <t>Prometheus アラート通知キューの残量</t>
        </is>
      </c>
      <c r="G129" s="3" t="inlineStr">
        <is>
          <t>直近 5 分間の傾向から 30 分以内に通知キュー長がキュー容量を超過すると線形予測</t>
        </is>
      </c>
      <c r="H129" s="2" t="inlineStr">
        <is>
          <t>15m(15分)</t>
        </is>
      </c>
      <c r="I129" s="3" t="inlineStr"/>
      <c r="J129" s="3" t="inlineStr">
        <is>
          <t>Prometheus alert notification queue predicted to run full in less than 30m.</t>
        </is>
      </c>
      <c r="K129" s="3" t="inlineStr">
        <is>
          <t>Alert notification queue of Prometheus {{$labels.namespace}}/{{$labels.pod}} is running full.</t>
        </is>
      </c>
      <c r="L129" s="5" t="inlineStr">
        <is>
          <t># Without min_over_time, failed scrapes could create false negatives, see
# https://www.robustperception.io/alerting-on-gauges-in-prometheus-2-0 for details.
(
  predict_linear(prometheus_notifications_queue_length{job="monitoring-kube-prometheus-prometheus",namespace="monitoring"}[5m], 60 * 30)
&gt;
  min_over_time(prometheus_notifications_queue_capacity{job="monitoring-kube-prometheus-prometheus",namespace="monitoring"}[5m])
)</t>
        </is>
      </c>
      <c r="M129" s="6" t="inlineStr">
        <is>
          <t>https://runbooks.prometheus-operator.dev/runbooks/prometheus/prometheusnotificationqueuerunningfull</t>
        </is>
      </c>
      <c r="N129" s="3" t="inlineStr"/>
    </row>
    <row r="130">
      <c r="A130" s="2" t="n">
        <v>129</v>
      </c>
      <c r="B130" s="3" t="inlineStr">
        <is>
          <t>prometheus</t>
        </is>
      </c>
      <c r="C130" s="3" t="inlineStr">
        <is>
          <t>Prometheus</t>
        </is>
      </c>
      <c r="D130" s="3" t="inlineStr">
        <is>
          <t>PrometheusErrorSendingAlertsToSomeAlertmanagers</t>
        </is>
      </c>
      <c r="E130" s="7" t="inlineStr">
        <is>
          <t>warning</t>
        </is>
      </c>
      <c r="F130" s="3" t="inlineStr">
        <is>
          <t>Prometheus→特定 Alertmanager へのアラート送信エラー率</t>
        </is>
      </c>
      <c r="G130" s="3" t="inlineStr">
        <is>
          <t>直近 5 分間の送信エラー率が 1% を超過(Alertmanager 個別)</t>
        </is>
      </c>
      <c r="H130" s="2" t="inlineStr">
        <is>
          <t>15m(15分)</t>
        </is>
      </c>
      <c r="I130" s="3" t="inlineStr"/>
      <c r="J130" s="3" t="inlineStr">
        <is>
          <t>More than 1% of alerts sent by Prometheus to a specific Alertmanager were affected by errors.</t>
        </is>
      </c>
      <c r="K130" s="3" t="inlineStr">
        <is>
          <t>{{ printf "%.1f" $value }}% of alerts sent by Prometheus {{$labels.namespace}}/{{$labels.pod}} to Alertmanager {{$labels.alertmanager}} were affected by errors.</t>
        </is>
      </c>
      <c r="L130" s="5" t="inlineStr">
        <is>
          <t>(
  rate(prometheus_notifications_errors_total{job="monitoring-kube-prometheus-prometheus",namespace="monitoring"}[5m])
/
  rate(prometheus_notifications_sent_total{job="monitoring-kube-prometheus-prometheus",namespace="monitoring"}[5m])
)
* 100
&gt; 1</t>
        </is>
      </c>
      <c r="M130" s="6" t="inlineStr">
        <is>
          <t>https://runbooks.prometheus-operator.dev/runbooks/prometheus/prometheuserrorsendingalertstosomealertmanagers</t>
        </is>
      </c>
      <c r="N130" s="3" t="inlineStr"/>
    </row>
    <row r="131">
      <c r="A131" s="2" t="n">
        <v>130</v>
      </c>
      <c r="B131" s="3" t="inlineStr">
        <is>
          <t>prometheus</t>
        </is>
      </c>
      <c r="C131" s="3" t="inlineStr">
        <is>
          <t>Prometheus</t>
        </is>
      </c>
      <c r="D131" s="3" t="inlineStr">
        <is>
          <t>PrometheusNotConnectedToAlertmanagers</t>
        </is>
      </c>
      <c r="E131" s="7" t="inlineStr">
        <is>
          <t>warning</t>
        </is>
      </c>
      <c r="F131" s="3" t="inlineStr">
        <is>
          <t>Prometheus の Alertmanager 接続</t>
        </is>
      </c>
      <c r="G131" s="3" t="inlineStr">
        <is>
          <t>直近 5 分間で検出された Alertmanager 数が 1 未満(接続先なし)</t>
        </is>
      </c>
      <c r="H131" s="2" t="inlineStr">
        <is>
          <t>10m(10分)</t>
        </is>
      </c>
      <c r="I131" s="3" t="inlineStr"/>
      <c r="J131" s="3" t="inlineStr">
        <is>
          <t>Prometheus is not connected to any Alertmanagers.</t>
        </is>
      </c>
      <c r="K131" s="3" t="inlineStr">
        <is>
          <t>Prometheus {{$labels.namespace}}/{{$labels.pod}} is not connected to any Alertmanagers.</t>
        </is>
      </c>
      <c r="L131" s="5" t="inlineStr">
        <is>
          <t># Without max_over_time, failed scrapes could create false negatives, see
# https://www.robustperception.io/alerting-on-gauges-in-prometheus-2-0 for details.
max_over_time(prometheus_notifications_alertmanagers_discovered{job="monitoring-kube-prometheus-prometheus",namespace="monitoring"}[5m]) &lt; 1</t>
        </is>
      </c>
      <c r="M131" s="6" t="inlineStr">
        <is>
          <t>https://runbooks.prometheus-operator.dev/runbooks/prometheus/prometheusnotconnectedtoalertmanagers</t>
        </is>
      </c>
      <c r="N131" s="3" t="inlineStr"/>
    </row>
    <row r="132">
      <c r="A132" s="2" t="n">
        <v>131</v>
      </c>
      <c r="B132" s="3" t="inlineStr">
        <is>
          <t>prometheus</t>
        </is>
      </c>
      <c r="C132" s="3" t="inlineStr">
        <is>
          <t>Prometheus</t>
        </is>
      </c>
      <c r="D132" s="3" t="inlineStr">
        <is>
          <t>PrometheusTSDBReloadsFailing</t>
        </is>
      </c>
      <c r="E132" s="7" t="inlineStr">
        <is>
          <t>warning</t>
        </is>
      </c>
      <c r="F132" s="3" t="inlineStr">
        <is>
          <t>Prometheus TSDB ブロックのリロード失敗</t>
        </is>
      </c>
      <c r="G132" s="3" t="inlineStr">
        <is>
          <t>直近 3 時間で TSDB リロード失敗の増分が 0 より大きい</t>
        </is>
      </c>
      <c r="H132" s="2" t="inlineStr">
        <is>
          <t>4h(4時間)</t>
        </is>
      </c>
      <c r="I132" s="3" t="inlineStr"/>
      <c r="J132" s="3" t="inlineStr">
        <is>
          <t>Prometheus has issues reloading blocks from disk.</t>
        </is>
      </c>
      <c r="K132" s="3" t="inlineStr">
        <is>
          <t>Prometheus {{$labels.namespace}}/{{$labels.pod}} has detected {{$value | humanize}} reload failures over the last 3h.</t>
        </is>
      </c>
      <c r="L132" s="5" t="inlineStr">
        <is>
          <t>increase(prometheus_tsdb_reloads_failures_total{job="monitoring-kube-prometheus-prometheus",namespace="monitoring"}[3h]) &gt; 0</t>
        </is>
      </c>
      <c r="M132" s="6" t="inlineStr">
        <is>
          <t>https://runbooks.prometheus-operator.dev/runbooks/prometheus/prometheustsdbreloadsfailing</t>
        </is>
      </c>
      <c r="N132" s="3" t="inlineStr"/>
    </row>
    <row r="133">
      <c r="A133" s="2" t="n">
        <v>132</v>
      </c>
      <c r="B133" s="3" t="inlineStr">
        <is>
          <t>prometheus</t>
        </is>
      </c>
      <c r="C133" s="3" t="inlineStr">
        <is>
          <t>Prometheus</t>
        </is>
      </c>
      <c r="D133" s="3" t="inlineStr">
        <is>
          <t>PrometheusTSDBCompactionsFailing</t>
        </is>
      </c>
      <c r="E133" s="7" t="inlineStr">
        <is>
          <t>warning</t>
        </is>
      </c>
      <c r="F133" s="3" t="inlineStr">
        <is>
          <t>Prometheus TSDB のコンパクション失敗</t>
        </is>
      </c>
      <c r="G133" s="3" t="inlineStr">
        <is>
          <t>直近 3 時間で TSDB コンパクション失敗の増分が 0 より大きい</t>
        </is>
      </c>
      <c r="H133" s="2" t="inlineStr">
        <is>
          <t>4h(4時間)</t>
        </is>
      </c>
      <c r="I133" s="3" t="inlineStr"/>
      <c r="J133" s="3" t="inlineStr">
        <is>
          <t>Prometheus has issues compacting blocks.</t>
        </is>
      </c>
      <c r="K133" s="3" t="inlineStr">
        <is>
          <t>Prometheus {{$labels.namespace}}/{{$labels.pod}} has detected {{$value | humanize}} compaction failures over the last 3h.</t>
        </is>
      </c>
      <c r="L133" s="5" t="inlineStr">
        <is>
          <t>increase(prometheus_tsdb_compactions_failed_total{job="monitoring-kube-prometheus-prometheus",namespace="monitoring"}[3h]) &gt; 0</t>
        </is>
      </c>
      <c r="M133" s="6" t="inlineStr">
        <is>
          <t>https://runbooks.prometheus-operator.dev/runbooks/prometheus/prometheustsdbcompactionsfailing</t>
        </is>
      </c>
      <c r="N133" s="3" t="inlineStr"/>
    </row>
    <row r="134">
      <c r="A134" s="2" t="n">
        <v>133</v>
      </c>
      <c r="B134" s="3" t="inlineStr">
        <is>
          <t>prometheus</t>
        </is>
      </c>
      <c r="C134" s="3" t="inlineStr">
        <is>
          <t>Prometheus</t>
        </is>
      </c>
      <c r="D134" s="3" t="inlineStr">
        <is>
          <t>PrometheusNotIngestingSamples</t>
        </is>
      </c>
      <c r="E134" s="7" t="inlineStr">
        <is>
          <t>warning</t>
        </is>
      </c>
      <c r="F134" s="3" t="inlineStr">
        <is>
          <t>Prometheus のサンプル取り込み</t>
        </is>
      </c>
      <c r="G134" s="3" t="inlineStr">
        <is>
          <t>直近 5 分間の head へのサンプル追加レートが 0 以下、かつスクレイプ対象またはルールが 1 つ以上設定されている</t>
        </is>
      </c>
      <c r="H134" s="2" t="inlineStr">
        <is>
          <t>10m(10分)</t>
        </is>
      </c>
      <c r="I134" s="3" t="inlineStr"/>
      <c r="J134" s="3" t="inlineStr">
        <is>
          <t>Prometheus is not ingesting samples.</t>
        </is>
      </c>
      <c r="K134" s="3" t="inlineStr">
        <is>
          <t>Prometheus {{$labels.namespace}}/{{$labels.pod}} is not ingesting samples.</t>
        </is>
      </c>
      <c r="L134" s="5" t="inlineStr">
        <is>
          <t>(
  sum without(type) (rate(prometheus_tsdb_head_samples_appended_total{job="monitoring-kube-prometheus-prometheus",namespace="monitoring"}[5m])) &lt;= 0
and
  (
    sum without(scrape_job) (prometheus_target_metadata_cache_entries{job="monitoring-kube-prometheus-prometheus",namespace="monitoring"}) &gt; 0
  or
    sum without(rule_group) (prometheus_rule_group_rules{job="monitoring-kube-prometheus-prometheus",namespace="monitoring"}) &gt; 0
  )
)</t>
        </is>
      </c>
      <c r="M134" s="6" t="inlineStr">
        <is>
          <t>https://runbooks.prometheus-operator.dev/runbooks/prometheus/prometheusnotingestingsamples</t>
        </is>
      </c>
      <c r="N134" s="3" t="inlineStr"/>
    </row>
    <row r="135">
      <c r="A135" s="2" t="n">
        <v>134</v>
      </c>
      <c r="B135" s="3" t="inlineStr">
        <is>
          <t>prometheus</t>
        </is>
      </c>
      <c r="C135" s="3" t="inlineStr">
        <is>
          <t>Prometheus</t>
        </is>
      </c>
      <c r="D135" s="3" t="inlineStr">
        <is>
          <t>PrometheusDuplicateTimestamps</t>
        </is>
      </c>
      <c r="E135" s="7" t="inlineStr">
        <is>
          <t>warning</t>
        </is>
      </c>
      <c r="F135" s="3" t="inlineStr">
        <is>
          <t>Prometheus の重複タイムスタンプ サンプル破棄</t>
        </is>
      </c>
      <c r="G135" s="3" t="inlineStr">
        <is>
          <t>直近 5 分間で重複タイムスタンプにより破棄されたサンプルのレートが 0 より大きい</t>
        </is>
      </c>
      <c r="H135" s="2" t="inlineStr">
        <is>
          <t>10m(10分)</t>
        </is>
      </c>
      <c r="I135" s="3" t="inlineStr"/>
      <c r="J135" s="3" t="inlineStr">
        <is>
          <t>Prometheus is dropping samples with duplicate timestamps.</t>
        </is>
      </c>
      <c r="K135" s="3" t="inlineStr">
        <is>
          <t>Prometheus {{$labels.namespace}}/{{$labels.pod}} is dropping {{ printf "%.4g" $value  }} samples/s with different values but duplicated timestamp.</t>
        </is>
      </c>
      <c r="L135" s="5" t="inlineStr">
        <is>
          <t>rate(prometheus_target_scrapes_sample_duplicate_timestamp_total{job="monitoring-kube-prometheus-prometheus",namespace="monitoring"}[5m]) &gt; 0</t>
        </is>
      </c>
      <c r="M135" s="6" t="inlineStr">
        <is>
          <t>https://runbooks.prometheus-operator.dev/runbooks/prometheus/prometheusduplicatetimestamps</t>
        </is>
      </c>
      <c r="N135" s="3" t="inlineStr"/>
    </row>
    <row r="136">
      <c r="A136" s="2" t="n">
        <v>135</v>
      </c>
      <c r="B136" s="3" t="inlineStr">
        <is>
          <t>prometheus</t>
        </is>
      </c>
      <c r="C136" s="3" t="inlineStr">
        <is>
          <t>Prometheus</t>
        </is>
      </c>
      <c r="D136" s="3" t="inlineStr">
        <is>
          <t>PrometheusOutOfOrderTimestamps</t>
        </is>
      </c>
      <c r="E136" s="7" t="inlineStr">
        <is>
          <t>warning</t>
        </is>
      </c>
      <c r="F136" s="3" t="inlineStr">
        <is>
          <t>Prometheus の順序不正タイムスタンプ サンプル破棄</t>
        </is>
      </c>
      <c r="G136" s="3" t="inlineStr">
        <is>
          <t>直近 5 分間で順序不正により破棄されたサンプルのレートが 0 より大きい</t>
        </is>
      </c>
      <c r="H136" s="2" t="inlineStr">
        <is>
          <t>10m(10分)</t>
        </is>
      </c>
      <c r="I136" s="3" t="inlineStr"/>
      <c r="J136" s="3" t="inlineStr">
        <is>
          <t>Prometheus drops samples with out-of-order timestamps.</t>
        </is>
      </c>
      <c r="K136" s="3" t="inlineStr">
        <is>
          <t>Prometheus {{$labels.namespace}}/{{$labels.pod}} is dropping {{ printf "%.4g" $value  }} samples/s with timestamps arriving out of order.</t>
        </is>
      </c>
      <c r="L136" s="5" t="inlineStr">
        <is>
          <t>rate(prometheus_target_scrapes_sample_out_of_order_total{job="monitoring-kube-prometheus-prometheus",namespace="monitoring"}[5m]) &gt; 0</t>
        </is>
      </c>
      <c r="M136" s="6" t="inlineStr">
        <is>
          <t>https://runbooks.prometheus-operator.dev/runbooks/prometheus/prometheusoutofordertimestamps</t>
        </is>
      </c>
      <c r="N136" s="3" t="inlineStr"/>
    </row>
    <row r="137">
      <c r="A137" s="2" t="n">
        <v>136</v>
      </c>
      <c r="B137" s="3" t="inlineStr">
        <is>
          <t>prometheus</t>
        </is>
      </c>
      <c r="C137" s="3" t="inlineStr">
        <is>
          <t>Prometheus</t>
        </is>
      </c>
      <c r="D137" s="3" t="inlineStr">
        <is>
          <t>PrometheusRemoteStorageFailures</t>
        </is>
      </c>
      <c r="E137" s="4" t="inlineStr">
        <is>
          <t>critical</t>
        </is>
      </c>
      <c r="F137" s="3" t="inlineStr">
        <is>
          <t>Prometheus リモートストレージ送信の失敗率</t>
        </is>
      </c>
      <c r="G137" s="3" t="inlineStr">
        <is>
          <t>直近 5 分間のリモート書き込み失敗サンプル率が 1% を超過</t>
        </is>
      </c>
      <c r="H137" s="2" t="inlineStr">
        <is>
          <t>15m(15分)</t>
        </is>
      </c>
      <c r="I137" s="3" t="inlineStr"/>
      <c r="J137" s="3" t="inlineStr">
        <is>
          <t>Prometheus fails to send samples to remote storage.</t>
        </is>
      </c>
      <c r="K137" s="3" t="inlineStr">
        <is>
          <t>Prometheus {{$labels.namespace}}/{{$labels.pod}} failed to send {{ printf "%.1f" $value }}% of the samples to {{ $labels.remote_name}}:{{ $labels.url }}</t>
        </is>
      </c>
      <c r="L137" s="5" t="inlineStr">
        <is>
          <t>(
  (rate(prometheus_remote_storage_failed_samples_total{job="monitoring-kube-prometheus-prometheus",namespace="monitoring"}[5m]) or rate(prometheus_remote_storage_samples_failed_total{job="monitoring-kube-prometheus-prometheus",namespace="monitoring"}[5m]))
/
  (
    (rate(prometheus_remote_storage_failed_samples_total{job="monitoring-kube-prometheus-prometheus",namespace="monitoring"}[5m]) or rate(prometheus_remote_storage_samples_failed_total{job="monitoring-kube-prometheus-prometheus",namespace="monitoring"}[5m]))
  +
    (rate(prometheus_remote_storage_succeeded_samples_total{job="monitoring-kube-prometheus-prometheus",namespace="monitoring"}[5m]) or rate(prometheus_remote_storage_samples_total{job="monitoring-kube-prometheus-prometheus",namespace="monitoring"}[5m]))
  )
)
* 100
&gt; 1</t>
        </is>
      </c>
      <c r="M137" s="6" t="inlineStr">
        <is>
          <t>https://runbooks.prometheus-operator.dev/runbooks/prometheus/prometheusremotestoragefailures</t>
        </is>
      </c>
      <c r="N137" s="3" t="inlineStr">
        <is>
          <t>remote_write 未設定の環境では発報しない。</t>
        </is>
      </c>
    </row>
    <row r="138">
      <c r="A138" s="2" t="n">
        <v>137</v>
      </c>
      <c r="B138" s="3" t="inlineStr">
        <is>
          <t>prometheus</t>
        </is>
      </c>
      <c r="C138" s="3" t="inlineStr">
        <is>
          <t>Prometheus</t>
        </is>
      </c>
      <c r="D138" s="3" t="inlineStr">
        <is>
          <t>PrometheusRemoteWriteBehind</t>
        </is>
      </c>
      <c r="E138" s="4" t="inlineStr">
        <is>
          <t>critical</t>
        </is>
      </c>
      <c r="F138" s="3" t="inlineStr">
        <is>
          <t>Prometheus リモート書き込みの遅延</t>
        </is>
      </c>
      <c r="G138" s="3" t="inlineStr">
        <is>
          <t>キュー内の最新サンプル時刻と送信済み最新サンプル時刻の差が 120 秒を超過</t>
        </is>
      </c>
      <c r="H138" s="2" t="inlineStr">
        <is>
          <t>15m(15分)</t>
        </is>
      </c>
      <c r="I138" s="3" t="inlineStr"/>
      <c r="J138" s="3" t="inlineStr">
        <is>
          <t>Prometheus remote write is behind.</t>
        </is>
      </c>
      <c r="K138" s="3" t="inlineStr">
        <is>
          <t>Prometheus {{$labels.namespace}}/{{$labels.pod}} remote write is {{ printf "%.1f" $value }}s behind for {{ $labels.remote_name}}:{{ $labels.url }}.</t>
        </is>
      </c>
      <c r="L138" s="5" t="inlineStr">
        <is>
          <t># Without max_over_time, failed scrapes could create false negatives, see
# https://www.robustperception.io/alerting-on-gauges-in-prometheus-2-0 for details.
(
  max_over_time(prometheus_remote_storage_queue_highest_timestamp_seconds{job="monitoring-kube-prometheus-prometheus",namespace="monitoring"}[5m])
-
  max_over_time(prometheus_remote_storage_queue_highest_sent_timestamp_seconds{job="monitoring-kube-prometheus-prometheus",namespace="monitoring"}[5m])
)
&gt; 120</t>
        </is>
      </c>
      <c r="M138" s="6" t="inlineStr">
        <is>
          <t>https://runbooks.prometheus-operator.dev/runbooks/prometheus/prometheusremotewritebehind</t>
        </is>
      </c>
      <c r="N138" s="3" t="inlineStr">
        <is>
          <t>remote_write 未設定の環境では発報しない。</t>
        </is>
      </c>
    </row>
    <row r="139">
      <c r="A139" s="2" t="n">
        <v>138</v>
      </c>
      <c r="B139" s="3" t="inlineStr">
        <is>
          <t>prometheus</t>
        </is>
      </c>
      <c r="C139" s="3" t="inlineStr">
        <is>
          <t>Prometheus</t>
        </is>
      </c>
      <c r="D139" s="3" t="inlineStr">
        <is>
          <t>PrometheusRemoteWriteDesiredShards</t>
        </is>
      </c>
      <c r="E139" s="7" t="inlineStr">
        <is>
          <t>warning</t>
        </is>
      </c>
      <c r="F139" s="3" t="inlineStr">
        <is>
          <t>Prometheus リモート書き込みのシャード数不足</t>
        </is>
      </c>
      <c r="G139" s="3" t="inlineStr">
        <is>
          <t>必要シャード数(desired)が設定上の最大シャード数(max)を超過</t>
        </is>
      </c>
      <c r="H139" s="2" t="inlineStr">
        <is>
          <t>15m(15分)</t>
        </is>
      </c>
      <c r="I139" s="3" t="inlineStr"/>
      <c r="J139" s="3" t="inlineStr">
        <is>
          <t>Prometheus remote write desired shards calculation wants to run more than configured max shards.</t>
        </is>
      </c>
      <c r="K139" s="3" t="inlineStr">
        <is>
          <t>Prometheus {{$labels.namespace}}/{{$labels.pod}} remote write desired shards calculation wants to run {{ $value }} shards for queue {{ $labels.remote_name}}:{{ $labels.url }}, which is more than the max of {{ printf `prometheus_remote_storage_shards_max{instance="%s",job="monitoring-kube-prometheus-prometheus",namespace="monitoring"}` $labels.instance | query | first | value }}.</t>
        </is>
      </c>
      <c r="L139" s="5" t="inlineStr">
        <is>
          <t># Without max_over_time, failed scrapes could create false negatives, see
# https://www.robustperception.io/alerting-on-gauges-in-prometheus-2-0 for details.
(
  max_over_time(prometheus_remote_storage_shards_desired{job="monitoring-kube-prometheus-prometheus",namespace="monitoring"}[5m])
&gt;
  max_over_time(prometheus_remote_storage_shards_max{job="monitoring-kube-prometheus-prometheus",namespace="monitoring"}[5m])
)</t>
        </is>
      </c>
      <c r="M139" s="6" t="inlineStr">
        <is>
          <t>https://runbooks.prometheus-operator.dev/runbooks/prometheus/prometheusremotewritedesiredshards</t>
        </is>
      </c>
      <c r="N139" s="3" t="inlineStr">
        <is>
          <t>remote_write 未設定の環境では発報しない。</t>
        </is>
      </c>
    </row>
    <row r="140">
      <c r="A140" s="2" t="n">
        <v>139</v>
      </c>
      <c r="B140" s="3" t="inlineStr">
        <is>
          <t>prometheus</t>
        </is>
      </c>
      <c r="C140" s="3" t="inlineStr">
        <is>
          <t>Prometheus</t>
        </is>
      </c>
      <c r="D140" s="3" t="inlineStr">
        <is>
          <t>PrometheusRuleFailures</t>
        </is>
      </c>
      <c r="E140" s="4" t="inlineStr">
        <is>
          <t>critical</t>
        </is>
      </c>
      <c r="F140" s="3" t="inlineStr">
        <is>
          <t>Prometheus ルール評価の失敗</t>
        </is>
      </c>
      <c r="G140" s="3" t="inlineStr">
        <is>
          <t>直近 5 分間でルール評価失敗の増分が 0 より大きい</t>
        </is>
      </c>
      <c r="H140" s="2" t="inlineStr">
        <is>
          <t>15m(15分)</t>
        </is>
      </c>
      <c r="I140" s="3" t="inlineStr"/>
      <c r="J140" s="3" t="inlineStr">
        <is>
          <t>Prometheus is failing rule evaluations.</t>
        </is>
      </c>
      <c r="K140" s="3" t="inlineStr">
        <is>
          <t>Prometheus {{$labels.namespace}}/{{$labels.pod}} has failed to evaluate {{ printf "%.0f" $value }} rules in the last 5m.</t>
        </is>
      </c>
      <c r="L140" s="5" t="inlineStr">
        <is>
          <t>increase(prometheus_rule_evaluation_failures_total{job="monitoring-kube-prometheus-prometheus",namespace="monitoring"}[5m]) &gt; 0</t>
        </is>
      </c>
      <c r="M140" s="6" t="inlineStr">
        <is>
          <t>https://runbooks.prometheus-operator.dev/runbooks/prometheus/prometheusrulefailures</t>
        </is>
      </c>
      <c r="N140" s="3" t="inlineStr"/>
    </row>
    <row r="141">
      <c r="A141" s="2" t="n">
        <v>140</v>
      </c>
      <c r="B141" s="3" t="inlineStr">
        <is>
          <t>prometheus</t>
        </is>
      </c>
      <c r="C141" s="3" t="inlineStr">
        <is>
          <t>Prometheus</t>
        </is>
      </c>
      <c r="D141" s="3" t="inlineStr">
        <is>
          <t>PrometheusMissingRuleEvaluations</t>
        </is>
      </c>
      <c r="E141" s="7" t="inlineStr">
        <is>
          <t>warning</t>
        </is>
      </c>
      <c r="F141" s="3" t="inlineStr">
        <is>
          <t>Prometheus ルール評価のスキップ</t>
        </is>
      </c>
      <c r="G141" s="3" t="inlineStr">
        <is>
          <t>直近 5 分間でルールグループ評価の取りこぼし(iterations_missed)の増分が 0 より大きい</t>
        </is>
      </c>
      <c r="H141" s="2" t="inlineStr">
        <is>
          <t>15m(15分)</t>
        </is>
      </c>
      <c r="I141" s="3" t="inlineStr"/>
      <c r="J141" s="3" t="inlineStr">
        <is>
          <t>Prometheus is missing rule evaluations due to slow rule group evaluation.</t>
        </is>
      </c>
      <c r="K141" s="3" t="inlineStr">
        <is>
          <t>Prometheus {{$labels.namespace}}/{{$labels.pod}} has missed {{ printf "%.0f" $value }} rule group evaluations in the last 5m.</t>
        </is>
      </c>
      <c r="L141" s="5" t="inlineStr">
        <is>
          <t>increase(prometheus_rule_group_iterations_missed_total{job="monitoring-kube-prometheus-prometheus",namespace="monitoring"}[5m]) &gt; 0</t>
        </is>
      </c>
      <c r="M141" s="6" t="inlineStr">
        <is>
          <t>https://runbooks.prometheus-operator.dev/runbooks/prometheus/prometheusmissingruleevaluations</t>
        </is>
      </c>
      <c r="N141" s="3" t="inlineStr"/>
    </row>
    <row r="142">
      <c r="A142" s="2" t="n">
        <v>141</v>
      </c>
      <c r="B142" s="3" t="inlineStr">
        <is>
          <t>prometheus</t>
        </is>
      </c>
      <c r="C142" s="3" t="inlineStr">
        <is>
          <t>Prometheus</t>
        </is>
      </c>
      <c r="D142" s="3" t="inlineStr">
        <is>
          <t>PrometheusTargetLimitHit</t>
        </is>
      </c>
      <c r="E142" s="7" t="inlineStr">
        <is>
          <t>warning</t>
        </is>
      </c>
      <c r="F142" s="3" t="inlineStr">
        <is>
          <t>Prometheus ターゲット数上限超過</t>
        </is>
      </c>
      <c r="G142" s="3" t="inlineStr">
        <is>
          <t>直近 5 分間でターゲット数上限(target_limit)超過によりドロップされた回数の増分が 0 より大きい</t>
        </is>
      </c>
      <c r="H142" s="2" t="inlineStr">
        <is>
          <t>15m(15分)</t>
        </is>
      </c>
      <c r="I142" s="3" t="inlineStr"/>
      <c r="J142" s="3" t="inlineStr">
        <is>
          <t>Prometheus has dropped targets because some scrape configs have exceeded the targets limit.</t>
        </is>
      </c>
      <c r="K142" s="3" t="inlineStr">
        <is>
          <t>Prometheus {{$labels.namespace}}/{{$labels.pod}} has dropped {{ printf "%.0f" $value }} targets because the number of targets exceeded the configured target_limit.</t>
        </is>
      </c>
      <c r="L142" s="5" t="inlineStr">
        <is>
          <t>increase(prometheus_target_scrape_pool_exceeded_target_limit_total{job="monitoring-kube-prometheus-prometheus",namespace="monitoring"}[5m]) &gt; 0</t>
        </is>
      </c>
      <c r="M142" s="6" t="inlineStr">
        <is>
          <t>https://runbooks.prometheus-operator.dev/runbooks/prometheus/prometheustargetlimithit</t>
        </is>
      </c>
      <c r="N142" s="3" t="inlineStr"/>
    </row>
    <row r="143">
      <c r="A143" s="2" t="n">
        <v>142</v>
      </c>
      <c r="B143" s="3" t="inlineStr">
        <is>
          <t>prometheus</t>
        </is>
      </c>
      <c r="C143" s="3" t="inlineStr">
        <is>
          <t>Prometheus</t>
        </is>
      </c>
      <c r="D143" s="3" t="inlineStr">
        <is>
          <t>PrometheusLabelLimitHit</t>
        </is>
      </c>
      <c r="E143" s="7" t="inlineStr">
        <is>
          <t>warning</t>
        </is>
      </c>
      <c r="F143" s="3" t="inlineStr">
        <is>
          <t>Prometheus ラベル数上限超過</t>
        </is>
      </c>
      <c r="G143" s="3" t="inlineStr">
        <is>
          <t>直近 5 分間でラベル数上限(label_limit 等)超過によりドロップされた回数の増分が 0 より大きい</t>
        </is>
      </c>
      <c r="H143" s="2" t="inlineStr">
        <is>
          <t>15m(15分)</t>
        </is>
      </c>
      <c r="I143" s="3" t="inlineStr"/>
      <c r="J143" s="3" t="inlineStr">
        <is>
          <t>Prometheus has dropped targets because some scrape configs have exceeded the labels limit.</t>
        </is>
      </c>
      <c r="K143" s="3" t="inlineStr">
        <is>
          <t>Prometheus {{$labels.namespace}}/{{$labels.pod}} has dropped {{ printf "%.0f" $value }} targets because some samples exceeded the configured label_limit, label_name_length_limit or label_value_length_limit.</t>
        </is>
      </c>
      <c r="L143" s="5" t="inlineStr">
        <is>
          <t>increase(prometheus_target_scrape_pool_exceeded_label_limits_total{job="monitoring-kube-prometheus-prometheus",namespace="monitoring"}[5m]) &gt; 0</t>
        </is>
      </c>
      <c r="M143" s="6" t="inlineStr">
        <is>
          <t>https://runbooks.prometheus-operator.dev/runbooks/prometheus/prometheuslabellimithit</t>
        </is>
      </c>
      <c r="N143" s="3" t="inlineStr"/>
    </row>
    <row r="144">
      <c r="A144" s="2" t="n">
        <v>143</v>
      </c>
      <c r="B144" s="3" t="inlineStr">
        <is>
          <t>prometheus</t>
        </is>
      </c>
      <c r="C144" s="3" t="inlineStr">
        <is>
          <t>Prometheus</t>
        </is>
      </c>
      <c r="D144" s="3" t="inlineStr">
        <is>
          <t>PrometheusScrapeBodySizeLimitHit</t>
        </is>
      </c>
      <c r="E144" s="7" t="inlineStr">
        <is>
          <t>warning</t>
        </is>
      </c>
      <c r="F144" s="3" t="inlineStr">
        <is>
          <t>Prometheus スクレイプ応答サイズ上限超過</t>
        </is>
      </c>
      <c r="G144" s="3" t="inlineStr">
        <is>
          <t>直近 5 分間で body_size_limit 超過により失敗したスクレイプの増分が 0 より大きい</t>
        </is>
      </c>
      <c r="H144" s="2" t="inlineStr">
        <is>
          <t>15m(15分)</t>
        </is>
      </c>
      <c r="I144" s="3" t="inlineStr"/>
      <c r="J144" s="3" t="inlineStr">
        <is>
          <t>Prometheus has dropped some targets that exceeded body size limit.</t>
        </is>
      </c>
      <c r="K144" s="3" t="inlineStr">
        <is>
          <t>Prometheus {{$labels.namespace}}/{{$labels.pod}} has failed {{ printf "%.0f" $value }} scrapes in the last 5m because some targets exceeded the configured body_size_limit.</t>
        </is>
      </c>
      <c r="L144" s="5" t="inlineStr">
        <is>
          <t>increase(prometheus_target_scrapes_exceeded_body_size_limit_total{job="monitoring-kube-prometheus-prometheus",namespace="monitoring"}[5m]) &gt; 0</t>
        </is>
      </c>
      <c r="M144" s="6" t="inlineStr">
        <is>
          <t>https://runbooks.prometheus-operator.dev/runbooks/prometheus/prometheusscrapebodysizelimithit</t>
        </is>
      </c>
      <c r="N144" s="3" t="inlineStr"/>
    </row>
    <row r="145">
      <c r="A145" s="2" t="n">
        <v>144</v>
      </c>
      <c r="B145" s="3" t="inlineStr">
        <is>
          <t>prometheus</t>
        </is>
      </c>
      <c r="C145" s="3" t="inlineStr">
        <is>
          <t>Prometheus</t>
        </is>
      </c>
      <c r="D145" s="3" t="inlineStr">
        <is>
          <t>PrometheusScrapeSampleLimitHit</t>
        </is>
      </c>
      <c r="E145" s="7" t="inlineStr">
        <is>
          <t>warning</t>
        </is>
      </c>
      <c r="F145" s="3" t="inlineStr">
        <is>
          <t>Prometheus スクレイプ サンプル数上限超過</t>
        </is>
      </c>
      <c r="G145" s="3" t="inlineStr">
        <is>
          <t>直近 5 分間で sample_limit 超過により失敗したスクレイプの増分が 0 より大きい</t>
        </is>
      </c>
      <c r="H145" s="2" t="inlineStr">
        <is>
          <t>15m(15分)</t>
        </is>
      </c>
      <c r="I145" s="3" t="inlineStr"/>
      <c r="J145" s="3" t="inlineStr">
        <is>
          <t>Prometheus has failed scrapes that have exceeded the configured sample limit.</t>
        </is>
      </c>
      <c r="K145" s="3" t="inlineStr">
        <is>
          <t>Prometheus {{$labels.namespace}}/{{$labels.pod}} has failed {{ printf "%.0f" $value }} scrapes in the last 5m because some targets exceeded the configured sample_limit.</t>
        </is>
      </c>
      <c r="L145" s="5" t="inlineStr">
        <is>
          <t>increase(prometheus_target_scrapes_exceeded_sample_limit_total{job="monitoring-kube-prometheus-prometheus",namespace="monitoring"}[5m]) &gt; 0</t>
        </is>
      </c>
      <c r="M145" s="6" t="inlineStr">
        <is>
          <t>https://runbooks.prometheus-operator.dev/runbooks/prometheus/prometheusscrapesamplelimithit</t>
        </is>
      </c>
      <c r="N145" s="3" t="inlineStr"/>
    </row>
    <row r="146">
      <c r="A146" s="2" t="n">
        <v>145</v>
      </c>
      <c r="B146" s="3" t="inlineStr">
        <is>
          <t>prometheus</t>
        </is>
      </c>
      <c r="C146" s="3" t="inlineStr">
        <is>
          <t>Prometheus</t>
        </is>
      </c>
      <c r="D146" s="3" t="inlineStr">
        <is>
          <t>PrometheusTargetSyncFailure</t>
        </is>
      </c>
      <c r="E146" s="4" t="inlineStr">
        <is>
          <t>critical</t>
        </is>
      </c>
      <c r="F146" s="3" t="inlineStr">
        <is>
          <t>Prometheus ターゲット同期の失敗</t>
        </is>
      </c>
      <c r="G146" s="3" t="inlineStr">
        <is>
          <t>直近 30 分間でターゲット同期失敗の増分が 0 より大きい</t>
        </is>
      </c>
      <c r="H146" s="2" t="inlineStr">
        <is>
          <t>5m(5分)</t>
        </is>
      </c>
      <c r="I146" s="3" t="inlineStr"/>
      <c r="J146" s="3" t="inlineStr">
        <is>
          <t>Prometheus has failed to sync targets.</t>
        </is>
      </c>
      <c r="K146" s="3" t="inlineStr">
        <is>
          <t>{{ printf "%.0f" $value }} targets in Prometheus {{$labels.namespace}}/{{$labels.pod}} have failed to sync because invalid configuration was supplied.</t>
        </is>
      </c>
      <c r="L146" s="5" t="inlineStr">
        <is>
          <t>increase(prometheus_target_sync_failed_total{job="monitoring-kube-prometheus-prometheus",namespace="monitoring"}[30m]) &gt; 0</t>
        </is>
      </c>
      <c r="M146" s="6" t="inlineStr">
        <is>
          <t>https://runbooks.prometheus-operator.dev/runbooks/prometheus/prometheustargetsyncfailure</t>
        </is>
      </c>
      <c r="N146" s="3" t="inlineStr"/>
    </row>
    <row r="147">
      <c r="A147" s="2" t="n">
        <v>146</v>
      </c>
      <c r="B147" s="3" t="inlineStr">
        <is>
          <t>prometheus</t>
        </is>
      </c>
      <c r="C147" s="3" t="inlineStr">
        <is>
          <t>Prometheus</t>
        </is>
      </c>
      <c r="D147" s="3" t="inlineStr">
        <is>
          <t>PrometheusHighQueryLoad</t>
        </is>
      </c>
      <c r="E147" s="7" t="inlineStr">
        <is>
          <t>warning</t>
        </is>
      </c>
      <c r="F147" s="3" t="inlineStr">
        <is>
          <t>Prometheus の同時クエリ負荷</t>
        </is>
      </c>
      <c r="G147" s="3" t="inlineStr">
        <is>
          <t>直近 5 分間の平均同時実行クエリ数 / 最大同時実行数 が 80% を超過</t>
        </is>
      </c>
      <c r="H147" s="2" t="inlineStr">
        <is>
          <t>15m(15分)</t>
        </is>
      </c>
      <c r="I147" s="3" t="inlineStr"/>
      <c r="J147" s="3" t="inlineStr">
        <is>
          <t>Prometheus is reaching its maximum capacity serving concurrent requests.</t>
        </is>
      </c>
      <c r="K147" s="3" t="inlineStr">
        <is>
          <t>Prometheus {{$labels.namespace}}/{{$labels.pod}} query API has less than 20% available capacity in its query engine for the last 15 minutes.</t>
        </is>
      </c>
      <c r="L147" s="5" t="inlineStr">
        <is>
          <t>avg_over_time(prometheus_engine_queries{job="monitoring-kube-prometheus-prometheus",namespace="monitoring"}[5m]) / max_over_time(prometheus_engine_queries_concurrent_max{job="monitoring-kube-prometheus-prometheus",namespace="monitoring"}[5m]) &gt; 0.8</t>
        </is>
      </c>
      <c r="M147" s="6" t="inlineStr">
        <is>
          <t>https://runbooks.prometheus-operator.dev/runbooks/prometheus/prometheushighqueryload</t>
        </is>
      </c>
      <c r="N147" s="3" t="inlineStr"/>
    </row>
    <row r="148">
      <c r="A148" s="2" t="n">
        <v>147</v>
      </c>
      <c r="B148" s="3" t="inlineStr">
        <is>
          <t>prometheus</t>
        </is>
      </c>
      <c r="C148" s="3" t="inlineStr">
        <is>
          <t>Prometheus</t>
        </is>
      </c>
      <c r="D148" s="3" t="inlineStr">
        <is>
          <t>PrometheusErrorSendingAlertsToAnyAlertmanager</t>
        </is>
      </c>
      <c r="E148" s="4" t="inlineStr">
        <is>
          <t>critical</t>
        </is>
      </c>
      <c r="F148" s="3" t="inlineStr">
        <is>
          <t>Prometheus→全 Alertmanager へのアラート送信エラー率</t>
        </is>
      </c>
      <c r="G148" s="3" t="inlineStr">
        <is>
          <t>全 Alertmanager に対する直近 5 分間の送信エラー率の最小値が 3% を超過(どの Alertmanager にも正常に送れていない)</t>
        </is>
      </c>
      <c r="H148" s="2" t="inlineStr">
        <is>
          <t>15m(15分)</t>
        </is>
      </c>
      <c r="I148" s="3" t="inlineStr"/>
      <c r="J148" s="3" t="inlineStr">
        <is>
          <t>Prometheus encounters more than 3% errors sending alerts to any Alertmanager.</t>
        </is>
      </c>
      <c r="K148" s="3" t="inlineStr">
        <is>
          <t>{{ printf "%.1f" $value }}% minimum errors while sending alerts from Prometheus {{$labels.namespace}}/{{$labels.pod}} to any Alertmanager.</t>
        </is>
      </c>
      <c r="L148" s="5" t="inlineStr">
        <is>
          <t>min without (alertmanager) (
  rate(prometheus_notifications_errors_total{job="monitoring-kube-prometheus-prometheus",namespace="monitoring",alertmanager!~``}[5m])
/
  rate(prometheus_notifications_sent_total{job="monitoring-kube-prometheus-prometheus",namespace="monitoring",alertmanager!~``}[5m])
)
* 100
&gt; 3</t>
        </is>
      </c>
      <c r="M148" s="6" t="inlineStr">
        <is>
          <t>https://runbooks.prometheus-operator.dev/runbooks/prometheus/prometheuserrorsendingalertstoanyalertmanager</t>
        </is>
      </c>
      <c r="N148" s="3" t="inlineStr"/>
    </row>
    <row r="149">
      <c r="A149" s="2" t="n">
        <v>148</v>
      </c>
      <c r="B149" s="3" t="inlineStr">
        <is>
          <t>prometheus-operator</t>
        </is>
      </c>
      <c r="C149" s="3" t="inlineStr">
        <is>
          <t>Prometheus Operator</t>
        </is>
      </c>
      <c r="D149" s="3" t="inlineStr">
        <is>
          <t>PrometheusOperatorListErrors</t>
        </is>
      </c>
      <c r="E149" s="7" t="inlineStr">
        <is>
          <t>warning</t>
        </is>
      </c>
      <c r="F149" s="3" t="inlineStr">
        <is>
          <t>Prometheus Operator の list 操作エラー率</t>
        </is>
      </c>
      <c r="G149" s="3" t="inlineStr">
        <is>
          <t>直近 10 分間の list 操作失敗率が 40% を超過(コントローラ別)</t>
        </is>
      </c>
      <c r="H149" s="2" t="inlineStr">
        <is>
          <t>15m(15分)</t>
        </is>
      </c>
      <c r="I149" s="3" t="inlineStr"/>
      <c r="J149" s="3" t="inlineStr">
        <is>
          <t>Errors while performing list operations in controller.</t>
        </is>
      </c>
      <c r="K149" s="3" t="inlineStr">
        <is>
          <t>Errors while performing List operations in controller {{$labels.controller}} in {{$labels.namespace}} namespace.</t>
        </is>
      </c>
      <c r="L149" s="5" t="inlineStr">
        <is>
          <t>(sum by (cluster,controller,namespace) (rate(prometheus_operator_list_operations_failed_total{job="monitoring-kube-prometheus-operator",namespace="monitoring"}[10m])) / sum by (cluster,controller,namespace) (rate(prometheus_operator_list_operations_total{job="monitoring-kube-prometheus-operator",namespace="monitoring"}[10m]))) &gt; 0.4</t>
        </is>
      </c>
      <c r="M149" s="6" t="inlineStr">
        <is>
          <t>https://runbooks.prometheus-operator.dev/runbooks/prometheus-operator/prometheusoperatorlisterrors</t>
        </is>
      </c>
      <c r="N149" s="3" t="inlineStr"/>
    </row>
    <row r="150">
      <c r="A150" s="2" t="n">
        <v>149</v>
      </c>
      <c r="B150" s="3" t="inlineStr">
        <is>
          <t>prometheus-operator</t>
        </is>
      </c>
      <c r="C150" s="3" t="inlineStr">
        <is>
          <t>Prometheus Operator</t>
        </is>
      </c>
      <c r="D150" s="3" t="inlineStr">
        <is>
          <t>PrometheusOperatorWatchErrors</t>
        </is>
      </c>
      <c r="E150" s="7" t="inlineStr">
        <is>
          <t>warning</t>
        </is>
      </c>
      <c r="F150" s="3" t="inlineStr">
        <is>
          <t>Prometheus Operator の watch 操作エラー率</t>
        </is>
      </c>
      <c r="G150" s="3" t="inlineStr">
        <is>
          <t>直近 5 分間の watch 操作失敗率が 40% を超過(コントローラ別)</t>
        </is>
      </c>
      <c r="H150" s="2" t="inlineStr">
        <is>
          <t>15m(15分)</t>
        </is>
      </c>
      <c r="I150" s="3" t="inlineStr"/>
      <c r="J150" s="3" t="inlineStr">
        <is>
          <t>Errors while performing watch operations in controller.</t>
        </is>
      </c>
      <c r="K150" s="3" t="inlineStr">
        <is>
          <t>Errors while performing watch operations in controller {{$labels.controller}} in {{$labels.namespace}} namespace.</t>
        </is>
      </c>
      <c r="L150" s="5" t="inlineStr">
        <is>
          <t>(sum by (cluster,controller,namespace) (rate(prometheus_operator_watch_operations_failed_total{job="monitoring-kube-prometheus-operator",namespace="monitoring"}[5m])) / sum by (cluster,controller,namespace) (rate(prometheus_operator_watch_operations_total{job="monitoring-kube-prometheus-operator",namespace="monitoring"}[5m]))) &gt; 0.4</t>
        </is>
      </c>
      <c r="M150" s="6" t="inlineStr">
        <is>
          <t>https://runbooks.prometheus-operator.dev/runbooks/prometheus-operator/prometheusoperatorwatcherrors</t>
        </is>
      </c>
      <c r="N150" s="3" t="inlineStr"/>
    </row>
    <row r="151">
      <c r="A151" s="2" t="n">
        <v>150</v>
      </c>
      <c r="B151" s="3" t="inlineStr">
        <is>
          <t>prometheus-operator</t>
        </is>
      </c>
      <c r="C151" s="3" t="inlineStr">
        <is>
          <t>Prometheus Operator</t>
        </is>
      </c>
      <c r="D151" s="3" t="inlineStr">
        <is>
          <t>PrometheusOperatorSyncFailed</t>
        </is>
      </c>
      <c r="E151" s="7" t="inlineStr">
        <is>
          <t>warning</t>
        </is>
      </c>
      <c r="F151" s="3" t="inlineStr">
        <is>
          <t>Prometheus Operator の reconcile 失敗</t>
        </is>
      </c>
      <c r="G151" s="3" t="inlineStr">
        <is>
          <t>直近 5 分間で status=failed の同期件数の最小値が 0 より大きい(直前の reconcile が失敗)</t>
        </is>
      </c>
      <c r="H151" s="2" t="inlineStr">
        <is>
          <t>10m(10分)</t>
        </is>
      </c>
      <c r="I151" s="3" t="inlineStr"/>
      <c r="J151" s="3" t="inlineStr">
        <is>
          <t>Last controller reconciliation failed</t>
        </is>
      </c>
      <c r="K151" s="3" t="inlineStr">
        <is>
          <t>Controller {{ $labels.controller }} in {{ $labels.namespace }} namespace fails to reconcile {{ $value }} objects.</t>
        </is>
      </c>
      <c r="L151" s="5" t="inlineStr">
        <is>
          <t>min_over_time(prometheus_operator_syncs{status="failed",job="monitoring-kube-prometheus-operator",namespace="monitoring"}[5m]) &gt; 0</t>
        </is>
      </c>
      <c r="M151" s="6" t="inlineStr">
        <is>
          <t>https://runbooks.prometheus-operator.dev/runbooks/prometheus-operator/prometheusoperatorsyncfailed</t>
        </is>
      </c>
      <c r="N151" s="3" t="inlineStr"/>
    </row>
    <row r="152">
      <c r="A152" s="2" t="n">
        <v>151</v>
      </c>
      <c r="B152" s="3" t="inlineStr">
        <is>
          <t>prometheus-operator</t>
        </is>
      </c>
      <c r="C152" s="3" t="inlineStr">
        <is>
          <t>Prometheus Operator</t>
        </is>
      </c>
      <c r="D152" s="3" t="inlineStr">
        <is>
          <t>PrometheusOperatorReconcileErrors</t>
        </is>
      </c>
      <c r="E152" s="7" t="inlineStr">
        <is>
          <t>warning</t>
        </is>
      </c>
      <c r="F152" s="3" t="inlineStr">
        <is>
          <t>Prometheus Operator の reconcile エラー率</t>
        </is>
      </c>
      <c r="G152" s="3" t="inlineStr">
        <is>
          <t>直近 5 分間の reconcile エラー率が 10% を超過(コントローラ別)</t>
        </is>
      </c>
      <c r="H152" s="2" t="inlineStr">
        <is>
          <t>10m(10分)</t>
        </is>
      </c>
      <c r="I152" s="3" t="inlineStr"/>
      <c r="J152" s="3" t="inlineStr">
        <is>
          <t>Errors while reconciling objects.</t>
        </is>
      </c>
      <c r="K152" s="3" t="inlineStr">
        <is>
          <t>{{ $value | humanizePercentage }} of reconciling operations failed for {{ $labels.controller }} controller in {{ $labels.namespace }} namespace.</t>
        </is>
      </c>
      <c r="L152" s="5" t="inlineStr">
        <is>
          <t>(sum by (cluster,controller,namespace) (rate(prometheus_operator_reconcile_errors_total{job="monitoring-kube-prometheus-operator",namespace="monitoring"}[5m]))) / (sum by (cluster,controller,namespace) (rate(prometheus_operator_reconcile_operations_total{job="monitoring-kube-prometheus-operator",namespace="monitoring"}[5m]))) &gt; 0.1</t>
        </is>
      </c>
      <c r="M152" s="6" t="inlineStr">
        <is>
          <t>https://runbooks.prometheus-operator.dev/runbooks/prometheus-operator/prometheusoperatorreconcileerrors</t>
        </is>
      </c>
      <c r="N152" s="3" t="inlineStr"/>
    </row>
    <row r="153">
      <c r="A153" s="2" t="n">
        <v>152</v>
      </c>
      <c r="B153" s="3" t="inlineStr">
        <is>
          <t>prometheus-operator</t>
        </is>
      </c>
      <c r="C153" s="3" t="inlineStr">
        <is>
          <t>Prometheus Operator</t>
        </is>
      </c>
      <c r="D153" s="3" t="inlineStr">
        <is>
          <t>PrometheusOperatorStatusUpdateErrors</t>
        </is>
      </c>
      <c r="E153" s="7" t="inlineStr">
        <is>
          <t>warning</t>
        </is>
      </c>
      <c r="F153" s="3" t="inlineStr">
        <is>
          <t>Prometheus Operator のステータス更新エラー率</t>
        </is>
      </c>
      <c r="G153" s="3" t="inlineStr">
        <is>
          <t>直近 5 分間のステータス更新エラー率が 10% を超過(コントローラ別)</t>
        </is>
      </c>
      <c r="H153" s="2" t="inlineStr">
        <is>
          <t>10m(10分)</t>
        </is>
      </c>
      <c r="I153" s="3" t="inlineStr"/>
      <c r="J153" s="3" t="inlineStr">
        <is>
          <t>Errors while updating objects status.</t>
        </is>
      </c>
      <c r="K153" s="3" t="inlineStr">
        <is>
          <t>{{ $value | humanizePercentage }} of status update operations failed for {{ $labels.controller }} controller in {{ $labels.namespace }} namespace.</t>
        </is>
      </c>
      <c r="L153" s="5" t="inlineStr">
        <is>
          <t>(sum by (cluster,controller,namespace) (rate(prometheus_operator_status_update_errors_total{job="monitoring-kube-prometheus-operator",namespace="monitoring"}[5m]))) / (sum by (cluster,controller,namespace) (rate(prometheus_operator_status_update_operations_total{job="monitoring-kube-prometheus-operator",namespace="monitoring"}[5m]))) &gt; 0.1</t>
        </is>
      </c>
      <c r="M153" s="6" t="inlineStr">
        <is>
          <t>https://runbooks.prometheus-operator.dev/runbooks/prometheus-operator/prometheusoperatorstatusupdateerrors</t>
        </is>
      </c>
      <c r="N153" s="3" t="inlineStr"/>
    </row>
    <row r="154">
      <c r="A154" s="2" t="n">
        <v>153</v>
      </c>
      <c r="B154" s="3" t="inlineStr">
        <is>
          <t>prometheus-operator</t>
        </is>
      </c>
      <c r="C154" s="3" t="inlineStr">
        <is>
          <t>Prometheus Operator</t>
        </is>
      </c>
      <c r="D154" s="3" t="inlineStr">
        <is>
          <t>PrometheusOperatorNodeLookupErrors</t>
        </is>
      </c>
      <c r="E154" s="7" t="inlineStr">
        <is>
          <t>warning</t>
        </is>
      </c>
      <c r="F154" s="3" t="inlineStr">
        <is>
          <t>Prometheus Operator のノードアドレス解決エラー</t>
        </is>
      </c>
      <c r="G154" s="3" t="inlineStr">
        <is>
          <t>直近 5 分間のノードアドレス解決エラーのレートが 0.1/秒 を超過</t>
        </is>
      </c>
      <c r="H154" s="2" t="inlineStr">
        <is>
          <t>10m(10分)</t>
        </is>
      </c>
      <c r="I154" s="3" t="inlineStr"/>
      <c r="J154" s="3" t="inlineStr">
        <is>
          <t>Errors while reconciling Prometheus.</t>
        </is>
      </c>
      <c r="K154" s="3" t="inlineStr">
        <is>
          <t>Errors while reconciling Prometheus in {{ $labels.namespace }} Namespace.</t>
        </is>
      </c>
      <c r="L154" s="5" t="inlineStr">
        <is>
          <t>rate(prometheus_operator_node_address_lookup_errors_total{job="monitoring-kube-prometheus-operator",namespace="monitoring"}[5m]) &gt; 0.1</t>
        </is>
      </c>
      <c r="M154" s="6" t="inlineStr">
        <is>
          <t>https://runbooks.prometheus-operator.dev/runbooks/prometheus-operator/prometheusoperatornodelookuperrors</t>
        </is>
      </c>
      <c r="N154" s="3" t="inlineStr"/>
    </row>
    <row r="155">
      <c r="A155" s="2" t="n">
        <v>154</v>
      </c>
      <c r="B155" s="3" t="inlineStr">
        <is>
          <t>prometheus-operator</t>
        </is>
      </c>
      <c r="C155" s="3" t="inlineStr">
        <is>
          <t>Prometheus Operator</t>
        </is>
      </c>
      <c r="D155" s="3" t="inlineStr">
        <is>
          <t>PrometheusOperatorNotReady</t>
        </is>
      </c>
      <c r="E155" s="7" t="inlineStr">
        <is>
          <t>warning</t>
        </is>
      </c>
      <c r="F155" s="3" t="inlineStr">
        <is>
          <t>Prometheus Operator の Ready 状態</t>
        </is>
      </c>
      <c r="G155" s="3" t="inlineStr">
        <is>
          <t>直近 5 分間で prometheus_operator_ready が 0(Ready でない)</t>
        </is>
      </c>
      <c r="H155" s="2" t="inlineStr">
        <is>
          <t>5m(5分)</t>
        </is>
      </c>
      <c r="I155" s="3" t="inlineStr"/>
      <c r="J155" s="3" t="inlineStr">
        <is>
          <t>Prometheus operator not ready</t>
        </is>
      </c>
      <c r="K155" s="3" t="inlineStr">
        <is>
          <t>Prometheus operator in {{ $labels.namespace }} namespace isn't ready to reconcile {{ $labels.controller }} resources.</t>
        </is>
      </c>
      <c r="L155" s="5" t="inlineStr">
        <is>
          <t>min by (cluster,controller,namespace) (max_over_time(prometheus_operator_ready{job="monitoring-kube-prometheus-operator",namespace="monitoring"}[5m]) == 0)</t>
        </is>
      </c>
      <c r="M155" s="6" t="inlineStr">
        <is>
          <t>https://runbooks.prometheus-operator.dev/runbooks/prometheus-operator/prometheusoperatornotready</t>
        </is>
      </c>
      <c r="N155" s="3" t="inlineStr"/>
    </row>
    <row r="156">
      <c r="A156" s="2" t="n">
        <v>155</v>
      </c>
      <c r="B156" s="3" t="inlineStr">
        <is>
          <t>prometheus-operator</t>
        </is>
      </c>
      <c r="C156" s="3" t="inlineStr">
        <is>
          <t>Prometheus Operator</t>
        </is>
      </c>
      <c r="D156" s="3" t="inlineStr">
        <is>
          <t>PrometheusOperatorRejectedResources</t>
        </is>
      </c>
      <c r="E156" s="7" t="inlineStr">
        <is>
          <t>warning</t>
        </is>
      </c>
      <c r="F156" s="3" t="inlineStr">
        <is>
          <t>Prometheus Operator に拒否されたリソース</t>
        </is>
      </c>
      <c r="G156" s="3" t="inlineStr">
        <is>
          <t>直近 5 分間で state=rejected の管理対象リソース数の最小値が 0 より大きい(不正な CR が存在)</t>
        </is>
      </c>
      <c r="H156" s="2" t="inlineStr">
        <is>
          <t>5m(5分)</t>
        </is>
      </c>
      <c r="I156" s="3" t="inlineStr"/>
      <c r="J156" s="3" t="inlineStr">
        <is>
          <t>Resources rejected by Prometheus operator</t>
        </is>
      </c>
      <c r="K156" s="3" t="inlineStr">
        <is>
          <t>Prometheus operator in {{ $labels.namespace }} namespace rejected {{ printf "%0.0f" $value }} {{ $labels.controller }}/{{ $labels.resource }} resources.</t>
        </is>
      </c>
      <c r="L156" s="5" t="inlineStr">
        <is>
          <t>min_over_time(prometheus_operator_managed_resources{state="rejected",job="monitoring-kube-prometheus-operator",namespace="monitoring"}[5m]) &gt; 0</t>
        </is>
      </c>
      <c r="M156" s="6" t="inlineStr">
        <is>
          <t>https://runbooks.prometheus-operator.dev/runbooks/prometheus-operator/prometheusoperatorrejectedresources</t>
        </is>
      </c>
      <c r="N156" s="3" t="inlineStr"/>
    </row>
  </sheetData>
  <autoFilter ref="A1:N156"/>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s>
  <sheetData>
    <row r="1">
      <c r="A1" s="10" t="inlineStr">
        <is>
          <t>監視項目サマリ(「監視項目一覧」シートから数式で集計)</t>
        </is>
      </c>
    </row>
    <row r="3">
      <c r="A3" s="1" t="inlineStr">
        <is>
          <t>重要度 (severity)</t>
        </is>
      </c>
      <c r="B3" s="1" t="inlineStr">
        <is>
          <t>件数</t>
        </is>
      </c>
    </row>
    <row r="4">
      <c r="A4" s="11" t="inlineStr">
        <is>
          <t>critical</t>
        </is>
      </c>
      <c r="B4" s="12">
        <f>COUNTIF('監視項目一覧'!$E$2:$E$156,"critical")</f>
        <v/>
      </c>
    </row>
    <row r="5">
      <c r="A5" s="13" t="inlineStr">
        <is>
          <t>warning</t>
        </is>
      </c>
      <c r="B5" s="12">
        <f>COUNTIF('監視項目一覧'!$E$2:$E$156,"warning")</f>
        <v/>
      </c>
    </row>
    <row r="6">
      <c r="A6" s="14" t="inlineStr">
        <is>
          <t>info</t>
        </is>
      </c>
      <c r="B6" s="12">
        <f>COUNTIF('監視項目一覧'!$E$2:$E$156,"info")</f>
        <v/>
      </c>
    </row>
    <row r="7">
      <c r="A7" s="15" t="inlineStr">
        <is>
          <t>none</t>
        </is>
      </c>
      <c r="B7" s="12">
        <f>COUNTIF('監視項目一覧'!$E$2:$E$156,"none")</f>
        <v/>
      </c>
    </row>
    <row r="8">
      <c r="A8" s="16" t="inlineStr">
        <is>
          <t>合計</t>
        </is>
      </c>
      <c r="B8" s="17">
        <f>SUM(B4:B7)</f>
        <v/>
      </c>
    </row>
    <row r="11">
      <c r="A11" s="1" t="inlineStr">
        <is>
          <t>カテゴリ(ルールグループ)</t>
        </is>
      </c>
      <c r="B11" s="1" t="inlineStr">
        <is>
          <t>critical</t>
        </is>
      </c>
      <c r="C11" s="1" t="inlineStr">
        <is>
          <t>warning</t>
        </is>
      </c>
      <c r="D11" s="1" t="inlineStr">
        <is>
          <t>info</t>
        </is>
      </c>
      <c r="E11" s="1" t="inlineStr">
        <is>
          <t>none</t>
        </is>
      </c>
      <c r="F11" s="1" t="inlineStr">
        <is>
          <t>合計</t>
        </is>
      </c>
    </row>
    <row r="12">
      <c r="A12" s="18" t="inlineStr">
        <is>
          <t>alertmanager.rules</t>
        </is>
      </c>
      <c r="B12" s="12">
        <f>COUNTIFS('監視項目一覧'!$B$2:$B$156,$A12,'監視項目一覧'!$E$2:$E$156,"critical")</f>
        <v/>
      </c>
      <c r="C12" s="12">
        <f>COUNTIFS('監視項目一覧'!$B$2:$B$156,$A12,'監視項目一覧'!$E$2:$E$156,"warning")</f>
        <v/>
      </c>
      <c r="D12" s="12">
        <f>COUNTIFS('監視項目一覧'!$B$2:$B$156,$A12,'監視項目一覧'!$E$2:$E$156,"info")</f>
        <v/>
      </c>
      <c r="E12" s="12">
        <f>COUNTIFS('監視項目一覧'!$B$2:$B$156,$A12,'監視項目一覧'!$E$2:$E$156,"none")</f>
        <v/>
      </c>
      <c r="F12" s="17">
        <f>SUM(B12:E12)</f>
        <v/>
      </c>
    </row>
    <row r="13">
      <c r="A13" s="18" t="inlineStr">
        <is>
          <t>config-reloaders</t>
        </is>
      </c>
      <c r="B13" s="12">
        <f>COUNTIFS('監視項目一覧'!$B$2:$B$156,$A13,'監視項目一覧'!$E$2:$E$156,"critical")</f>
        <v/>
      </c>
      <c r="C13" s="12">
        <f>COUNTIFS('監視項目一覧'!$B$2:$B$156,$A13,'監視項目一覧'!$E$2:$E$156,"warning")</f>
        <v/>
      </c>
      <c r="D13" s="12">
        <f>COUNTIFS('監視項目一覧'!$B$2:$B$156,$A13,'監視項目一覧'!$E$2:$E$156,"info")</f>
        <v/>
      </c>
      <c r="E13" s="12">
        <f>COUNTIFS('監視項目一覧'!$B$2:$B$156,$A13,'監視項目一覧'!$E$2:$E$156,"none")</f>
        <v/>
      </c>
      <c r="F13" s="17">
        <f>SUM(B13:E13)</f>
        <v/>
      </c>
    </row>
    <row r="14">
      <c r="A14" s="18" t="inlineStr">
        <is>
          <t>etcd</t>
        </is>
      </c>
      <c r="B14" s="12">
        <f>COUNTIFS('監視項目一覧'!$B$2:$B$156,$A14,'監視項目一覧'!$E$2:$E$156,"critical")</f>
        <v/>
      </c>
      <c r="C14" s="12">
        <f>COUNTIFS('監視項目一覧'!$B$2:$B$156,$A14,'監視項目一覧'!$E$2:$E$156,"warning")</f>
        <v/>
      </c>
      <c r="D14" s="12">
        <f>COUNTIFS('監視項目一覧'!$B$2:$B$156,$A14,'監視項目一覧'!$E$2:$E$156,"info")</f>
        <v/>
      </c>
      <c r="E14" s="12">
        <f>COUNTIFS('監視項目一覧'!$B$2:$B$156,$A14,'監視項目一覧'!$E$2:$E$156,"none")</f>
        <v/>
      </c>
      <c r="F14" s="17">
        <f>SUM(B14:E14)</f>
        <v/>
      </c>
    </row>
    <row r="15">
      <c r="A15" s="18" t="inlineStr">
        <is>
          <t>general.rules</t>
        </is>
      </c>
      <c r="B15" s="12">
        <f>COUNTIFS('監視項目一覧'!$B$2:$B$156,$A15,'監視項目一覧'!$E$2:$E$156,"critical")</f>
        <v/>
      </c>
      <c r="C15" s="12">
        <f>COUNTIFS('監視項目一覧'!$B$2:$B$156,$A15,'監視項目一覧'!$E$2:$E$156,"warning")</f>
        <v/>
      </c>
      <c r="D15" s="12">
        <f>COUNTIFS('監視項目一覧'!$B$2:$B$156,$A15,'監視項目一覧'!$E$2:$E$156,"info")</f>
        <v/>
      </c>
      <c r="E15" s="12">
        <f>COUNTIFS('監視項目一覧'!$B$2:$B$156,$A15,'監視項目一覧'!$E$2:$E$156,"none")</f>
        <v/>
      </c>
      <c r="F15" s="17">
        <f>SUM(B15:E15)</f>
        <v/>
      </c>
    </row>
    <row r="16">
      <c r="A16" s="18" t="inlineStr">
        <is>
          <t>kube-apiserver-slos</t>
        </is>
      </c>
      <c r="B16" s="12">
        <f>COUNTIFS('監視項目一覧'!$B$2:$B$156,$A16,'監視項目一覧'!$E$2:$E$156,"critical")</f>
        <v/>
      </c>
      <c r="C16" s="12">
        <f>COUNTIFS('監視項目一覧'!$B$2:$B$156,$A16,'監視項目一覧'!$E$2:$E$156,"warning")</f>
        <v/>
      </c>
      <c r="D16" s="12">
        <f>COUNTIFS('監視項目一覧'!$B$2:$B$156,$A16,'監視項目一覧'!$E$2:$E$156,"info")</f>
        <v/>
      </c>
      <c r="E16" s="12">
        <f>COUNTIFS('監視項目一覧'!$B$2:$B$156,$A16,'監視項目一覧'!$E$2:$E$156,"none")</f>
        <v/>
      </c>
      <c r="F16" s="17">
        <f>SUM(B16:E16)</f>
        <v/>
      </c>
    </row>
    <row r="17">
      <c r="A17" s="18" t="inlineStr">
        <is>
          <t>kube-state-metrics</t>
        </is>
      </c>
      <c r="B17" s="12">
        <f>COUNTIFS('監視項目一覧'!$B$2:$B$156,$A17,'監視項目一覧'!$E$2:$E$156,"critical")</f>
        <v/>
      </c>
      <c r="C17" s="12">
        <f>COUNTIFS('監視項目一覧'!$B$2:$B$156,$A17,'監視項目一覧'!$E$2:$E$156,"warning")</f>
        <v/>
      </c>
      <c r="D17" s="12">
        <f>COUNTIFS('監視項目一覧'!$B$2:$B$156,$A17,'監視項目一覧'!$E$2:$E$156,"info")</f>
        <v/>
      </c>
      <c r="E17" s="12">
        <f>COUNTIFS('監視項目一覧'!$B$2:$B$156,$A17,'監視項目一覧'!$E$2:$E$156,"none")</f>
        <v/>
      </c>
      <c r="F17" s="17">
        <f>SUM(B17:E17)</f>
        <v/>
      </c>
    </row>
    <row r="18">
      <c r="A18" s="18" t="inlineStr">
        <is>
          <t>kubernetes-apps</t>
        </is>
      </c>
      <c r="B18" s="12">
        <f>COUNTIFS('監視項目一覧'!$B$2:$B$156,$A18,'監視項目一覧'!$E$2:$E$156,"critical")</f>
        <v/>
      </c>
      <c r="C18" s="12">
        <f>COUNTIFS('監視項目一覧'!$B$2:$B$156,$A18,'監視項目一覧'!$E$2:$E$156,"warning")</f>
        <v/>
      </c>
      <c r="D18" s="12">
        <f>COUNTIFS('監視項目一覧'!$B$2:$B$156,$A18,'監視項目一覧'!$E$2:$E$156,"info")</f>
        <v/>
      </c>
      <c r="E18" s="12">
        <f>COUNTIFS('監視項目一覧'!$B$2:$B$156,$A18,'監視項目一覧'!$E$2:$E$156,"none")</f>
        <v/>
      </c>
      <c r="F18" s="17">
        <f>SUM(B18:E18)</f>
        <v/>
      </c>
    </row>
    <row r="19">
      <c r="A19" s="18" t="inlineStr">
        <is>
          <t>kubernetes-resources</t>
        </is>
      </c>
      <c r="B19" s="12">
        <f>COUNTIFS('監視項目一覧'!$B$2:$B$156,$A19,'監視項目一覧'!$E$2:$E$156,"critical")</f>
        <v/>
      </c>
      <c r="C19" s="12">
        <f>COUNTIFS('監視項目一覧'!$B$2:$B$156,$A19,'監視項目一覧'!$E$2:$E$156,"warning")</f>
        <v/>
      </c>
      <c r="D19" s="12">
        <f>COUNTIFS('監視項目一覧'!$B$2:$B$156,$A19,'監視項目一覧'!$E$2:$E$156,"info")</f>
        <v/>
      </c>
      <c r="E19" s="12">
        <f>COUNTIFS('監視項目一覧'!$B$2:$B$156,$A19,'監視項目一覧'!$E$2:$E$156,"none")</f>
        <v/>
      </c>
      <c r="F19" s="17">
        <f>SUM(B19:E19)</f>
        <v/>
      </c>
    </row>
    <row r="20">
      <c r="A20" s="18" t="inlineStr">
        <is>
          <t>kubernetes-storage</t>
        </is>
      </c>
      <c r="B20" s="12">
        <f>COUNTIFS('監視項目一覧'!$B$2:$B$156,$A20,'監視項目一覧'!$E$2:$E$156,"critical")</f>
        <v/>
      </c>
      <c r="C20" s="12">
        <f>COUNTIFS('監視項目一覧'!$B$2:$B$156,$A20,'監視項目一覧'!$E$2:$E$156,"warning")</f>
        <v/>
      </c>
      <c r="D20" s="12">
        <f>COUNTIFS('監視項目一覧'!$B$2:$B$156,$A20,'監視項目一覧'!$E$2:$E$156,"info")</f>
        <v/>
      </c>
      <c r="E20" s="12">
        <f>COUNTIFS('監視項目一覧'!$B$2:$B$156,$A20,'監視項目一覧'!$E$2:$E$156,"none")</f>
        <v/>
      </c>
      <c r="F20" s="17">
        <f>SUM(B20:E20)</f>
        <v/>
      </c>
    </row>
    <row r="21">
      <c r="A21" s="18" t="inlineStr">
        <is>
          <t>kubernetes-system</t>
        </is>
      </c>
      <c r="B21" s="12">
        <f>COUNTIFS('監視項目一覧'!$B$2:$B$156,$A21,'監視項目一覧'!$E$2:$E$156,"critical")</f>
        <v/>
      </c>
      <c r="C21" s="12">
        <f>COUNTIFS('監視項目一覧'!$B$2:$B$156,$A21,'監視項目一覧'!$E$2:$E$156,"warning")</f>
        <v/>
      </c>
      <c r="D21" s="12">
        <f>COUNTIFS('監視項目一覧'!$B$2:$B$156,$A21,'監視項目一覧'!$E$2:$E$156,"info")</f>
        <v/>
      </c>
      <c r="E21" s="12">
        <f>COUNTIFS('監視項目一覧'!$B$2:$B$156,$A21,'監視項目一覧'!$E$2:$E$156,"none")</f>
        <v/>
      </c>
      <c r="F21" s="17">
        <f>SUM(B21:E21)</f>
        <v/>
      </c>
    </row>
    <row r="22">
      <c r="A22" s="18" t="inlineStr">
        <is>
          <t>kubernetes-system-apiserver</t>
        </is>
      </c>
      <c r="B22" s="12">
        <f>COUNTIFS('監視項目一覧'!$B$2:$B$156,$A22,'監視項目一覧'!$E$2:$E$156,"critical")</f>
        <v/>
      </c>
      <c r="C22" s="12">
        <f>COUNTIFS('監視項目一覧'!$B$2:$B$156,$A22,'監視項目一覧'!$E$2:$E$156,"warning")</f>
        <v/>
      </c>
      <c r="D22" s="12">
        <f>COUNTIFS('監視項目一覧'!$B$2:$B$156,$A22,'監視項目一覧'!$E$2:$E$156,"info")</f>
        <v/>
      </c>
      <c r="E22" s="12">
        <f>COUNTIFS('監視項目一覧'!$B$2:$B$156,$A22,'監視項目一覧'!$E$2:$E$156,"none")</f>
        <v/>
      </c>
      <c r="F22" s="17">
        <f>SUM(B22:E22)</f>
        <v/>
      </c>
    </row>
    <row r="23">
      <c r="A23" s="18" t="inlineStr">
        <is>
          <t>kubernetes-system-controller-manager</t>
        </is>
      </c>
      <c r="B23" s="12">
        <f>COUNTIFS('監視項目一覧'!$B$2:$B$156,$A23,'監視項目一覧'!$E$2:$E$156,"critical")</f>
        <v/>
      </c>
      <c r="C23" s="12">
        <f>COUNTIFS('監視項目一覧'!$B$2:$B$156,$A23,'監視項目一覧'!$E$2:$E$156,"warning")</f>
        <v/>
      </c>
      <c r="D23" s="12">
        <f>COUNTIFS('監視項目一覧'!$B$2:$B$156,$A23,'監視項目一覧'!$E$2:$E$156,"info")</f>
        <v/>
      </c>
      <c r="E23" s="12">
        <f>COUNTIFS('監視項目一覧'!$B$2:$B$156,$A23,'監視項目一覧'!$E$2:$E$156,"none")</f>
        <v/>
      </c>
      <c r="F23" s="17">
        <f>SUM(B23:E23)</f>
        <v/>
      </c>
    </row>
    <row r="24">
      <c r="A24" s="18" t="inlineStr">
        <is>
          <t>kubernetes-system-kube-proxy</t>
        </is>
      </c>
      <c r="B24" s="12">
        <f>COUNTIFS('監視項目一覧'!$B$2:$B$156,$A24,'監視項目一覧'!$E$2:$E$156,"critical")</f>
        <v/>
      </c>
      <c r="C24" s="12">
        <f>COUNTIFS('監視項目一覧'!$B$2:$B$156,$A24,'監視項目一覧'!$E$2:$E$156,"warning")</f>
        <v/>
      </c>
      <c r="D24" s="12">
        <f>COUNTIFS('監視項目一覧'!$B$2:$B$156,$A24,'監視項目一覧'!$E$2:$E$156,"info")</f>
        <v/>
      </c>
      <c r="E24" s="12">
        <f>COUNTIFS('監視項目一覧'!$B$2:$B$156,$A24,'監視項目一覧'!$E$2:$E$156,"none")</f>
        <v/>
      </c>
      <c r="F24" s="17">
        <f>SUM(B24:E24)</f>
        <v/>
      </c>
    </row>
    <row r="25">
      <c r="A25" s="18" t="inlineStr">
        <is>
          <t>kubernetes-system-kubelet</t>
        </is>
      </c>
      <c r="B25" s="12">
        <f>COUNTIFS('監視項目一覧'!$B$2:$B$156,$A25,'監視項目一覧'!$E$2:$E$156,"critical")</f>
        <v/>
      </c>
      <c r="C25" s="12">
        <f>COUNTIFS('監視項目一覧'!$B$2:$B$156,$A25,'監視項目一覧'!$E$2:$E$156,"warning")</f>
        <v/>
      </c>
      <c r="D25" s="12">
        <f>COUNTIFS('監視項目一覧'!$B$2:$B$156,$A25,'監視項目一覧'!$E$2:$E$156,"info")</f>
        <v/>
      </c>
      <c r="E25" s="12">
        <f>COUNTIFS('監視項目一覧'!$B$2:$B$156,$A25,'監視項目一覧'!$E$2:$E$156,"none")</f>
        <v/>
      </c>
      <c r="F25" s="17">
        <f>SUM(B25:E25)</f>
        <v/>
      </c>
    </row>
    <row r="26">
      <c r="A26" s="18" t="inlineStr">
        <is>
          <t>kubernetes-system-scheduler</t>
        </is>
      </c>
      <c r="B26" s="12">
        <f>COUNTIFS('監視項目一覧'!$B$2:$B$156,$A26,'監視項目一覧'!$E$2:$E$156,"critical")</f>
        <v/>
      </c>
      <c r="C26" s="12">
        <f>COUNTIFS('監視項目一覧'!$B$2:$B$156,$A26,'監視項目一覧'!$E$2:$E$156,"warning")</f>
        <v/>
      </c>
      <c r="D26" s="12">
        <f>COUNTIFS('監視項目一覧'!$B$2:$B$156,$A26,'監視項目一覧'!$E$2:$E$156,"info")</f>
        <v/>
      </c>
      <c r="E26" s="12">
        <f>COUNTIFS('監視項目一覧'!$B$2:$B$156,$A26,'監視項目一覧'!$E$2:$E$156,"none")</f>
        <v/>
      </c>
      <c r="F26" s="17">
        <f>SUM(B26:E26)</f>
        <v/>
      </c>
    </row>
    <row r="27">
      <c r="A27" s="18" t="inlineStr">
        <is>
          <t>node-exporter</t>
        </is>
      </c>
      <c r="B27" s="12">
        <f>COUNTIFS('監視項目一覧'!$B$2:$B$156,$A27,'監視項目一覧'!$E$2:$E$156,"critical")</f>
        <v/>
      </c>
      <c r="C27" s="12">
        <f>COUNTIFS('監視項目一覧'!$B$2:$B$156,$A27,'監視項目一覧'!$E$2:$E$156,"warning")</f>
        <v/>
      </c>
      <c r="D27" s="12">
        <f>COUNTIFS('監視項目一覧'!$B$2:$B$156,$A27,'監視項目一覧'!$E$2:$E$156,"info")</f>
        <v/>
      </c>
      <c r="E27" s="12">
        <f>COUNTIFS('監視項目一覧'!$B$2:$B$156,$A27,'監視項目一覧'!$E$2:$E$156,"none")</f>
        <v/>
      </c>
      <c r="F27" s="17">
        <f>SUM(B27:E27)</f>
        <v/>
      </c>
    </row>
    <row r="28">
      <c r="A28" s="18" t="inlineStr">
        <is>
          <t>node-network</t>
        </is>
      </c>
      <c r="B28" s="12">
        <f>COUNTIFS('監視項目一覧'!$B$2:$B$156,$A28,'監視項目一覧'!$E$2:$E$156,"critical")</f>
        <v/>
      </c>
      <c r="C28" s="12">
        <f>COUNTIFS('監視項目一覧'!$B$2:$B$156,$A28,'監視項目一覧'!$E$2:$E$156,"warning")</f>
        <v/>
      </c>
      <c r="D28" s="12">
        <f>COUNTIFS('監視項目一覧'!$B$2:$B$156,$A28,'監視項目一覧'!$E$2:$E$156,"info")</f>
        <v/>
      </c>
      <c r="E28" s="12">
        <f>COUNTIFS('監視項目一覧'!$B$2:$B$156,$A28,'監視項目一覧'!$E$2:$E$156,"none")</f>
        <v/>
      </c>
      <c r="F28" s="17">
        <f>SUM(B28:E28)</f>
        <v/>
      </c>
    </row>
    <row r="29">
      <c r="A29" s="18" t="inlineStr">
        <is>
          <t>prometheus</t>
        </is>
      </c>
      <c r="B29" s="12">
        <f>COUNTIFS('監視項目一覧'!$B$2:$B$156,$A29,'監視項目一覧'!$E$2:$E$156,"critical")</f>
        <v/>
      </c>
      <c r="C29" s="12">
        <f>COUNTIFS('監視項目一覧'!$B$2:$B$156,$A29,'監視項目一覧'!$E$2:$E$156,"warning")</f>
        <v/>
      </c>
      <c r="D29" s="12">
        <f>COUNTIFS('監視項目一覧'!$B$2:$B$156,$A29,'監視項目一覧'!$E$2:$E$156,"info")</f>
        <v/>
      </c>
      <c r="E29" s="12">
        <f>COUNTIFS('監視項目一覧'!$B$2:$B$156,$A29,'監視項目一覧'!$E$2:$E$156,"none")</f>
        <v/>
      </c>
      <c r="F29" s="17">
        <f>SUM(B29:E29)</f>
        <v/>
      </c>
    </row>
    <row r="30">
      <c r="A30" s="18" t="inlineStr">
        <is>
          <t>prometheus-operator</t>
        </is>
      </c>
      <c r="B30" s="12">
        <f>COUNTIFS('監視項目一覧'!$B$2:$B$156,$A30,'監視項目一覧'!$E$2:$E$156,"critical")</f>
        <v/>
      </c>
      <c r="C30" s="12">
        <f>COUNTIFS('監視項目一覧'!$B$2:$B$156,$A30,'監視項目一覧'!$E$2:$E$156,"warning")</f>
        <v/>
      </c>
      <c r="D30" s="12">
        <f>COUNTIFS('監視項目一覧'!$B$2:$B$156,$A30,'監視項目一覧'!$E$2:$E$156,"info")</f>
        <v/>
      </c>
      <c r="E30" s="12">
        <f>COUNTIFS('監視項目一覧'!$B$2:$B$156,$A30,'監視項目一覧'!$E$2:$E$156,"none")</f>
        <v/>
      </c>
      <c r="F30" s="17">
        <f>SUM(B30:E30)</f>
        <v/>
      </c>
    </row>
    <row r="31">
      <c r="A31" s="16" t="inlineStr">
        <is>
          <t>合計</t>
        </is>
      </c>
      <c r="B31" s="17">
        <f>SUM(B12:B30)</f>
        <v/>
      </c>
      <c r="C31" s="17">
        <f>SUM(C12:C30)</f>
        <v/>
      </c>
      <c r="D31" s="17">
        <f>SUM(D12:D30)</f>
        <v/>
      </c>
      <c r="E31" s="17">
        <f>SUM(E12:E30)</f>
        <v/>
      </c>
      <c r="F31" s="17">
        <f>SUM(F12:F30)</f>
        <v/>
      </c>
    </row>
    <row r="34">
      <c r="A34" s="1" t="inlineStr">
        <is>
          <t>継続時間 (for)</t>
        </is>
      </c>
      <c r="B34" s="1" t="inlineStr">
        <is>
          <t>件数</t>
        </is>
      </c>
    </row>
    <row r="35">
      <c r="A35" s="12" t="inlineStr">
        <is>
          <t>即時(for 未設定)</t>
        </is>
      </c>
      <c r="B35" s="12">
        <f>COUNTIF('監視項目一覧'!$H$2:$H$156,"即時(for 未設定)")</f>
        <v/>
      </c>
    </row>
    <row r="36">
      <c r="A36" s="12" t="inlineStr">
        <is>
          <t>0s(即時)</t>
        </is>
      </c>
      <c r="B36" s="12">
        <f>COUNTIF('監視項目一覧'!$H$2:$H$156,"0s(即時)")</f>
        <v/>
      </c>
    </row>
    <row r="37">
      <c r="A37" s="12" t="inlineStr">
        <is>
          <t>1m(1分)</t>
        </is>
      </c>
      <c r="B37" s="12">
        <f>COUNTIF('監視項目一覧'!$H$2:$H$156,"1m(1分)")</f>
        <v/>
      </c>
    </row>
    <row r="38">
      <c r="A38" s="12" t="inlineStr">
        <is>
          <t>2m(2分)</t>
        </is>
      </c>
      <c r="B38" s="12">
        <f>COUNTIF('監視項目一覧'!$H$2:$H$156,"2m(2分)")</f>
        <v/>
      </c>
    </row>
    <row r="39">
      <c r="A39" s="12" t="inlineStr">
        <is>
          <t>3m(3分)</t>
        </is>
      </c>
      <c r="B39" s="12">
        <f>COUNTIF('監視項目一覧'!$H$2:$H$156,"3m(3分)")</f>
        <v/>
      </c>
    </row>
    <row r="40">
      <c r="A40" s="12" t="inlineStr">
        <is>
          <t>5m(5分)</t>
        </is>
      </c>
      <c r="B40" s="12">
        <f>COUNTIF('監視項目一覧'!$H$2:$H$156,"5m(5分)")</f>
        <v/>
      </c>
    </row>
    <row r="41">
      <c r="A41" s="12" t="inlineStr">
        <is>
          <t>10m(10分)</t>
        </is>
      </c>
      <c r="B41" s="12">
        <f>COUNTIF('監視項目一覧'!$H$2:$H$156,"10m(10分)")</f>
        <v/>
      </c>
    </row>
    <row r="42">
      <c r="A42" s="12" t="inlineStr">
        <is>
          <t>15m(15分)</t>
        </is>
      </c>
      <c r="B42" s="12">
        <f>COUNTIF('監視項目一覧'!$H$2:$H$156,"15m(15分)")</f>
        <v/>
      </c>
    </row>
    <row r="43">
      <c r="A43" s="12" t="inlineStr">
        <is>
          <t>20m(20分)</t>
        </is>
      </c>
      <c r="B43" s="12">
        <f>COUNTIF('監視項目一覧'!$H$2:$H$156,"20m(20分)")</f>
        <v/>
      </c>
    </row>
    <row r="44">
      <c r="A44" s="12" t="inlineStr">
        <is>
          <t>30m(30分)</t>
        </is>
      </c>
      <c r="B44" s="12">
        <f>COUNTIF('監視項目一覧'!$H$2:$H$156,"30m(30分)")</f>
        <v/>
      </c>
    </row>
    <row r="45">
      <c r="A45" s="12" t="inlineStr">
        <is>
          <t>1h(1時間)</t>
        </is>
      </c>
      <c r="B45" s="12">
        <f>COUNTIF('監視項目一覧'!$H$2:$H$156,"1h(1時間)")</f>
        <v/>
      </c>
    </row>
    <row r="46">
      <c r="A46" s="12" t="inlineStr">
        <is>
          <t>3h(3時間)</t>
        </is>
      </c>
      <c r="B46" s="12">
        <f>COUNTIF('監視項目一覧'!$H$2:$H$156,"3h(3時間)")</f>
        <v/>
      </c>
    </row>
    <row r="47">
      <c r="A47" s="12" t="inlineStr">
        <is>
          <t>4h(4時間)</t>
        </is>
      </c>
      <c r="B47" s="12">
        <f>COUNTIF('監視項目一覧'!$H$2:$H$156,"4h(4時間)")</f>
        <v/>
      </c>
    </row>
    <row r="48">
      <c r="A48" s="16" t="inlineStr">
        <is>
          <t>合計</t>
        </is>
      </c>
      <c r="B48" s="17">
        <f>SUM(B35:B47)</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110" customWidth="1" min="2" max="2"/>
  </cols>
  <sheetData>
    <row r="1">
      <c r="A1" s="10" t="inlineStr">
        <is>
          <t>1. 出典・生成情報</t>
        </is>
      </c>
    </row>
    <row r="2">
      <c r="A2" s="19" t="inlineStr">
        <is>
          <t>入力ファイル</t>
        </is>
      </c>
      <c r="B2" s="3" t="inlineStr">
        <is>
          <t>kubectl get prometheusrules -n monitoring -o yaml の出力(docs/source/alert_definition.yaml)</t>
        </is>
      </c>
    </row>
    <row r="3">
      <c r="A3" s="19" t="inlineStr">
        <is>
          <t>Helm chart</t>
        </is>
      </c>
      <c r="B3" s="3" t="inlineStr">
        <is>
          <t>kube-prometheus-stack-88.6.3</t>
        </is>
      </c>
    </row>
    <row r="4">
      <c r="A4" s="19" t="inlineStr">
        <is>
          <t>namespace</t>
        </is>
      </c>
      <c r="B4" s="3" t="inlineStr">
        <is>
          <t>monitoring</t>
        </is>
      </c>
    </row>
    <row r="5">
      <c r="A5" s="19" t="inlineStr">
        <is>
          <t>リソース作成日時(UTC)</t>
        </is>
      </c>
      <c r="B5" s="3" t="inlineStr">
        <is>
          <t>2026-09-03T02:22:51Z</t>
        </is>
      </c>
    </row>
    <row r="6">
      <c r="A6" s="19" t="inlineStr">
        <is>
          <t>PrometheusRule 数</t>
        </is>
      </c>
      <c r="B6" s="3" t="inlineStr">
        <is>
          <t>35 件 / ルールグループ 35 個</t>
        </is>
      </c>
    </row>
    <row r="7">
      <c r="A7" s="19" t="inlineStr">
        <is>
          <t>アラートルール数</t>
        </is>
      </c>
      <c r="B7" s="3" t="inlineStr">
        <is>
          <t>155 件(本一覧の対象)</t>
        </is>
      </c>
    </row>
    <row r="8">
      <c r="A8" s="19" t="inlineStr">
        <is>
          <t>記録ルール数</t>
        </is>
      </c>
      <c r="B8" s="3" t="inlineStr">
        <is>
          <t>94 件(record: ルール。アラートではないため本一覧の対象外)</t>
        </is>
      </c>
    </row>
    <row r="9">
      <c r="A9" s="19" t="inlineStr">
        <is>
          <t>生成スクリプト</t>
        </is>
      </c>
      <c r="B9" s="3" t="inlineStr">
        <is>
          <t>tools/build_alert_sheet.py(日本語訳はスクリプト内の辞書で管理)</t>
        </is>
      </c>
    </row>
    <row r="11">
      <c r="A11" s="10" t="inlineStr">
        <is>
          <t>2. 重要度(severity)の目安</t>
        </is>
      </c>
    </row>
    <row r="12">
      <c r="A12" s="20" t="inlineStr">
        <is>
          <t>critical</t>
        </is>
      </c>
      <c r="B12" s="3" t="inlineStr">
        <is>
          <t>サービス影響が出ている、または差し迫っている。即時対応が必要。</t>
        </is>
      </c>
    </row>
    <row r="13">
      <c r="A13" s="21" t="inlineStr">
        <is>
          <t>warning</t>
        </is>
      </c>
      <c r="B13" s="3" t="inlineStr">
        <is>
          <t>放置するとサービス影響につながる可能性がある。営業時間内に確認・対応。</t>
        </is>
      </c>
    </row>
    <row r="14">
      <c r="A14" s="22" t="inlineStr">
        <is>
          <t>info</t>
        </is>
      </c>
      <c r="B14" s="3" t="inlineStr">
        <is>
          <t>情報通知。単独では対応不要だが、他アラートと併発した際の調査材料。標準構成では InfoInhibitor により warning/critical 併発時は抑止される。</t>
        </is>
      </c>
    </row>
    <row r="15">
      <c r="A15" s="23" t="inlineStr">
        <is>
          <t>none</t>
        </is>
      </c>
      <c r="B15" s="3" t="inlineStr">
        <is>
          <t>通知用ではない制御用アラート(Watchdog: 死活確認、InfoInhibitor: 抑止制御)。Alertmanager では null receiver に送るのが標準。</t>
        </is>
      </c>
    </row>
    <row r="17">
      <c r="A17" s="10" t="inlineStr">
        <is>
          <t>3. 列の読み方</t>
        </is>
      </c>
    </row>
    <row r="18">
      <c r="A18" s="19" t="inlineStr">
        <is>
          <t>発報条件・閾値</t>
        </is>
      </c>
      <c r="B18" s="3" t="inlineStr">
        <is>
          <t>PromQL(expr)を日本語で要約したもの。正確な条件は PromQL 列を正とする。</t>
        </is>
      </c>
    </row>
    <row r="19">
      <c r="A19" s="19" t="inlineStr">
        <is>
          <t>継続時間 (for)</t>
        </is>
      </c>
      <c r="B19" s="3" t="inlineStr">
        <is>
          <t>「発報条件・閾値」の状態が for に指定した時間継続した時点で firing(発報)となる。for が未設定または 0s の場合は条件成立と同時に発報する(pending 状態を経ない)。</t>
        </is>
      </c>
    </row>
    <row r="20">
      <c r="A20" s="19" t="inlineStr">
        <is>
          <t>追加ラベル</t>
        </is>
      </c>
      <c r="B20" s="3" t="inlineStr">
        <is>
          <t>severity 以外にルールが付与するラベル。KubeAPIErrorBudgetBurn の long/short(評価ウィンドウ)など、同名アラートの区別に使う。</t>
        </is>
      </c>
    </row>
    <row r="21">
      <c r="A21" s="19" t="inlineStr">
        <is>
          <t>同名アラート</t>
        </is>
      </c>
      <c r="B21" s="3" t="inlineStr">
        <is>
          <t>同じアラート名が複数行ある場合は、閾値の異なる段階アラート(例: warning=5% 未満 / critical=3% 未満)。1 定義 = 1 行として全件を掲載している。</t>
        </is>
      </c>
    </row>
    <row r="22">
      <c r="A22" s="19" t="inlineStr">
        <is>
          <t>Summary / Description(原文)</t>
        </is>
      </c>
      <c r="B22" s="3" t="inlineStr">
        <is>
          <t>ルール定義の annotations をそのまま転記。{{ $labels.xxx }} / {{ $value }} は発報時に実値へ置換されるテンプレート。</t>
        </is>
      </c>
    </row>
    <row r="24">
      <c r="A24" s="10" t="inlineStr">
        <is>
          <t>4. 通知経路に関する注記(Alertmanager)</t>
        </is>
      </c>
    </row>
    <row r="25">
      <c r="A25" s="19" t="inlineStr">
        <is>
          <t>基本の流れ</t>
        </is>
      </c>
      <c r="B25" s="3" t="inlineStr">
        <is>
          <t>Prometheus が firing と判定したアラートはすべて Alertmanager に送信される。実際にメール等で通知されるかは Alertmanager 側の設定(route / receivers / inhibit_rules)で決まる。</t>
        </is>
      </c>
    </row>
    <row r="26">
      <c r="A26" s="19" t="inlineStr">
        <is>
          <t>route と receiver</t>
        </is>
      </c>
      <c r="B26" s="3" t="inlineStr">
        <is>
          <t>Alertmanager の route ツリーで、アラートのラベル(severity、namespace、alertname 等)にマッチした receiver に配送される。その receiver に email_configs が設定されていれば、その宛先にメールが送られる。マッチしなければ既定 receiver に落ちる。kube-prometheus-stack の初期値では既定 receiver が 'null'(どこにも通知しない)。</t>
        </is>
      </c>
    </row>
    <row r="27">
      <c r="A27" s="19" t="inlineStr">
        <is>
          <t>通知されないアラート</t>
        </is>
      </c>
      <c r="B27" s="3" t="inlineStr">
        <is>
          <t>Watchdog(severity=none)は null receiver へ送る route が初期値で入っている。InfoInhibitor も null receiver に送る前提の設計。この 2 件は「一覧にはあるがメールは来ない」ことが正常。</t>
        </is>
      </c>
    </row>
    <row r="28">
      <c r="A28" s="19" t="inlineStr">
        <is>
          <t>抑止(inhibit)</t>
        </is>
      </c>
      <c r="B28" s="3" t="inlineStr">
        <is>
          <t>初期値の inhibit_rules により、同一対象で critical が firing 中は warning/info を、warning が firing 中は info を抑止する。また InfoInhibitor 発報中は同 namespace の info を抑止する。抑止されたアラートは通知されない。</t>
        </is>
      </c>
    </row>
    <row r="29">
      <c r="A29" s="19" t="inlineStr">
        <is>
          <t>グループ化</t>
        </is>
      </c>
      <c r="B29" s="3" t="inlineStr">
        <is>
          <t>group_by / group_wait / group_interval / repeat_interval により複数アラートが 1 通のメールにまとめられる。一覧の 1 行が必ず 1 通のメールに対応するわけではない。</t>
        </is>
      </c>
    </row>
    <row r="30">
      <c r="A30" s="19" t="inlineStr">
        <is>
          <t>実設定の確認方法</t>
        </is>
      </c>
      <c r="B30" s="3" t="inlineStr">
        <is>
          <t>kubectl -n monitoring get secret alertmanager-monitoring-kube-prometheus-alertmanager-generated -o jsonpath='{.data.alertmanager\.yaml\.gz}' | base64 -d | gunzip  または Helm values の alertmanager.config / AlertmanagerConfig CR を参照。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2026-09-07T07:57:16Z</dcterms:created>
  <dcterms:modified xsi:type="dcterms:W3CDTF">2026-09-07T07:57:16Z</dcterms:modified>
</cp:coreProperties>
</file>